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4240" windowHeight="13740" firstSheet="2" activeTab="2"/>
  </bookViews>
  <sheets>
    <sheet name="air properties" sheetId="2" state="hidden" r:id="rId1"/>
    <sheet name="calculation non insulated pipe " sheetId="4" state="hidden" r:id="rId2"/>
    <sheet name="NewTool" sheetId="9" r:id="rId3"/>
    <sheet name="zPipeCatalogue_LOGSTOR" sheetId="10" r:id="rId4"/>
  </sheets>
  <functionGroups builtInGroupCount="17"/>
  <externalReferences>
    <externalReference r:id="rId5"/>
  </externalReferences>
  <definedNames>
    <definedName name="Abs_Rough_AluFlex">'[1]Pipe Catalog'!$U$2</definedName>
    <definedName name="Abs_Rough_TwinP">'[1]Pipe Catalog'!$U$3</definedName>
    <definedName name="DP_Pipe">#REF!</definedName>
    <definedName name="Dyn_Viscosity">'[1]DH Network'!$G$19</definedName>
    <definedName name="HotWater">'[1]DH Network'!$G$5</definedName>
    <definedName name="PD_Network">'[1]DH Network'!$B$18</definedName>
    <definedName name="SpaceHeat">'[1]DH Network'!$G$4</definedName>
    <definedName name="T_ground">'[1]DH Network'!$B$13</definedName>
    <definedName name="T_Mean">'[1]DH Network'!$B$9</definedName>
    <definedName name="T_return">'[1]DH Network'!$B$8</definedName>
    <definedName name="T_supply">'[1]DH Network'!$B$7</definedName>
  </definedNames>
  <calcPr calcId="144525" calcOnSave="0"/>
</workbook>
</file>

<file path=xl/calcChain.xml><?xml version="1.0" encoding="utf-8"?>
<calcChain xmlns="http://schemas.openxmlformats.org/spreadsheetml/2006/main">
  <c r="C3" i="9" l="1"/>
  <c r="C40" i="9"/>
  <c r="C37" i="9"/>
  <c r="C38" i="9"/>
  <c r="G5" i="9"/>
  <c r="G4" i="9"/>
  <c r="C39" i="9" l="1"/>
  <c r="G38" i="9" l="1"/>
  <c r="E24" i="9" l="1"/>
  <c r="C34" i="9" s="1"/>
  <c r="D24" i="9"/>
  <c r="E23" i="9" s="1"/>
  <c r="C24" i="9"/>
  <c r="D23" i="9" s="1"/>
  <c r="C23" i="9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10" i="10"/>
  <c r="K4" i="10"/>
  <c r="K5" i="10"/>
  <c r="K6" i="10"/>
  <c r="K7" i="10"/>
  <c r="K8" i="10"/>
  <c r="K9" i="10"/>
  <c r="K3" i="10"/>
  <c r="S19" i="10"/>
  <c r="R19" i="10"/>
  <c r="S18" i="10"/>
  <c r="R18" i="10"/>
  <c r="S17" i="10"/>
  <c r="R17" i="10"/>
  <c r="S16" i="10"/>
  <c r="R16" i="10"/>
  <c r="S15" i="10"/>
  <c r="R15" i="10"/>
  <c r="S14" i="10"/>
  <c r="R14" i="10"/>
  <c r="S13" i="10"/>
  <c r="R13" i="10"/>
  <c r="S12" i="10"/>
  <c r="R12" i="10"/>
  <c r="S11" i="10"/>
  <c r="R11" i="10"/>
  <c r="S10" i="10"/>
  <c r="R10" i="10"/>
  <c r="S9" i="10"/>
  <c r="R9" i="10"/>
  <c r="S8" i="10"/>
  <c r="R8" i="10"/>
  <c r="S7" i="10"/>
  <c r="R7" i="10"/>
  <c r="S6" i="10"/>
  <c r="R6" i="10"/>
  <c r="S5" i="10"/>
  <c r="R5" i="10"/>
  <c r="S4" i="10"/>
  <c r="R4" i="10"/>
  <c r="S3" i="10"/>
  <c r="R3" i="10"/>
  <c r="Q20" i="10"/>
  <c r="P20" i="10"/>
  <c r="Q19" i="10"/>
  <c r="P19" i="10"/>
  <c r="Q18" i="10"/>
  <c r="P18" i="10"/>
  <c r="Q17" i="10"/>
  <c r="P17" i="10"/>
  <c r="Q16" i="10"/>
  <c r="P16" i="10"/>
  <c r="Q15" i="10"/>
  <c r="P15" i="10"/>
  <c r="Q14" i="10"/>
  <c r="P14" i="10"/>
  <c r="Q13" i="10"/>
  <c r="P13" i="10"/>
  <c r="Q12" i="10"/>
  <c r="P12" i="10"/>
  <c r="Q11" i="10"/>
  <c r="P11" i="10"/>
  <c r="Q10" i="10"/>
  <c r="P10" i="10"/>
  <c r="Q9" i="10"/>
  <c r="P9" i="10"/>
  <c r="Q8" i="10"/>
  <c r="P8" i="10"/>
  <c r="Q7" i="10"/>
  <c r="P7" i="10"/>
  <c r="Q6" i="10"/>
  <c r="P6" i="10"/>
  <c r="Q5" i="10"/>
  <c r="P5" i="10"/>
  <c r="Q4" i="10"/>
  <c r="P4" i="10"/>
  <c r="Q3" i="10"/>
  <c r="P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3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4" i="10"/>
  <c r="L5" i="10"/>
  <c r="L6" i="10"/>
  <c r="L7" i="10"/>
  <c r="L3" i="10"/>
  <c r="K24" i="10"/>
  <c r="K25" i="10"/>
  <c r="K26" i="10"/>
  <c r="G37" i="9"/>
  <c r="C46" i="9" l="1"/>
  <c r="C11" i="9"/>
  <c r="G6" i="9"/>
  <c r="C29" i="9"/>
  <c r="E29" i="9"/>
  <c r="C43" i="9"/>
  <c r="C44" i="9" l="1"/>
  <c r="D29" i="9"/>
  <c r="C45" i="9" l="1"/>
  <c r="C47" i="9" s="1"/>
  <c r="G2" i="9" s="1"/>
  <c r="G3" i="9" s="1"/>
  <c r="G7" i="9" l="1"/>
  <c r="L88" i="2"/>
  <c r="L70" i="2"/>
  <c r="L51" i="2"/>
  <c r="L101" i="2" s="1"/>
  <c r="L34" i="2"/>
</calcChain>
</file>

<file path=xl/sharedStrings.xml><?xml version="1.0" encoding="utf-8"?>
<sst xmlns="http://schemas.openxmlformats.org/spreadsheetml/2006/main" count="147" uniqueCount="113">
  <si>
    <t>mm</t>
  </si>
  <si>
    <t>Common properties for air at atmospheric pressure are indicated the table below</t>
  </si>
  <si>
    <t>Temperature</t>
  </si>
  <si>
    <t>(oC)</t>
  </si>
  <si>
    <t>Density</t>
  </si>
  <si>
    <t>(kg/m3)</t>
  </si>
  <si>
    <t>Specific heat capacity</t>
  </si>
  <si>
    <t>(kJ/kg.K)</t>
  </si>
  <si>
    <t>Thermal conductivity</t>
  </si>
  <si>
    <t>(W/m.K)</t>
  </si>
  <si>
    <t>Kinematic viscosity</t>
  </si>
  <si>
    <t>x 10-6 (m2/s)</t>
  </si>
  <si>
    <t>Expansion coefficient</t>
  </si>
  <si>
    <t>x 10-3 (1/K)</t>
  </si>
  <si>
    <t>Prandtl's number</t>
  </si>
  <si>
    <t>-</t>
  </si>
  <si>
    <t>Pr</t>
  </si>
  <si>
    <t>Tout</t>
  </si>
  <si>
    <t>density vs temperature</t>
  </si>
  <si>
    <t>t</t>
  </si>
  <si>
    <t>specific heat versus temperature</t>
  </si>
  <si>
    <t>ρ (SI)</t>
  </si>
  <si>
    <t>thermal conductivity versus temperature</t>
  </si>
  <si>
    <t>cp (SI) *1000</t>
  </si>
  <si>
    <t>cinematic viscosity versus temperature</t>
  </si>
  <si>
    <t>γ *1E-06 m2/s</t>
  </si>
  <si>
    <t>λ (SI)</t>
  </si>
  <si>
    <t>Velocity</t>
  </si>
  <si>
    <t>Pipe</t>
  </si>
  <si>
    <t>Polyurethane</t>
  </si>
  <si>
    <t>P235TR1</t>
  </si>
  <si>
    <t>Insulation</t>
  </si>
  <si>
    <t>Casing</t>
  </si>
  <si>
    <t>[W/mK]</t>
  </si>
  <si>
    <t>Material</t>
  </si>
  <si>
    <t>din [mm]</t>
  </si>
  <si>
    <t>dout [mm]</t>
  </si>
  <si>
    <t>Reynolds</t>
  </si>
  <si>
    <t>R_total</t>
  </si>
  <si>
    <t xml:space="preserve">https://www.osti.gov/servlets/purl/629429 </t>
  </si>
  <si>
    <t>https://www.cheresources.com/invision/blog/4/entry-493-heat-transfer-in-buried-liquid-pipelines/</t>
  </si>
  <si>
    <t xml:space="preserve">https://web2.clarkson.edu/projects/subramanian/ch330/notes/Heat%20Transfer%20in%20Flow%20Through%20Conduits.pdf </t>
  </si>
  <si>
    <t>Steel Pipe</t>
  </si>
  <si>
    <t>Φ nom.</t>
  </si>
  <si>
    <t>Φ out. 
[mm]</t>
  </si>
  <si>
    <t>Wall thick. 
[mm]</t>
  </si>
  <si>
    <t>Outer Casing - Insulation Series 1</t>
  </si>
  <si>
    <t>Outer Casing - Insulation Series 2</t>
  </si>
  <si>
    <t>Outer Casing - Insulation Series 3</t>
  </si>
  <si>
    <t>d_st,in</t>
  </si>
  <si>
    <t>d_st,out</t>
  </si>
  <si>
    <t>d_ins,in</t>
  </si>
  <si>
    <t>d_ins,out</t>
  </si>
  <si>
    <t>[mm]</t>
  </si>
  <si>
    <t>Pipe Type</t>
  </si>
  <si>
    <t>Ref: LOGSTOR, Product Catalogue Version 2018.12</t>
  </si>
  <si>
    <t xml:space="preserve">https://www.logstor.com/media/6115/product-catalogue-uk-201812.pdf </t>
  </si>
  <si>
    <t>Thermal Resistence</t>
  </si>
  <si>
    <t>Insulation Series - List</t>
  </si>
  <si>
    <t>[°C]</t>
  </si>
  <si>
    <t>Pipe Insulation Series</t>
  </si>
  <si>
    <t>Heat Capacity</t>
  </si>
  <si>
    <t>Dynamic Viscosity</t>
  </si>
  <si>
    <t>Prandtl</t>
  </si>
  <si>
    <t>Darcy Friction Factor (f)</t>
  </si>
  <si>
    <t>Single Pipe</t>
  </si>
  <si>
    <t xml:space="preserve">https://www.cheresources.com/invision/topic/26552-heat-loss-through-buried-insulated-pipe/ </t>
  </si>
  <si>
    <t>Nu (Gnielinski Correlation)</t>
  </si>
  <si>
    <t>Thermal Conductivity, λ</t>
  </si>
  <si>
    <t>[J/kg K]</t>
  </si>
  <si>
    <r>
      <t>[kg/m</t>
    </r>
    <r>
      <rPr>
        <vertAlign val="superscript"/>
        <sz val="11"/>
        <color theme="0"/>
        <rFont val="Calibri"/>
        <family val="2"/>
        <scheme val="minor"/>
      </rPr>
      <t>3</t>
    </r>
    <r>
      <rPr>
        <sz val="11"/>
        <color theme="0"/>
        <rFont val="Calibri"/>
        <family val="2"/>
        <scheme val="minor"/>
      </rPr>
      <t>]</t>
    </r>
  </si>
  <si>
    <t>[Pa.s]</t>
  </si>
  <si>
    <t>[K/W]</t>
  </si>
  <si>
    <t>Pipe Length</t>
  </si>
  <si>
    <t>Pipe Depth</t>
  </si>
  <si>
    <t>Mass Flow Rate, ṁ</t>
  </si>
  <si>
    <t>[m]</t>
  </si>
  <si>
    <t>[kg/s]</t>
  </si>
  <si>
    <t>[m/s]</t>
  </si>
  <si>
    <t>INPUT</t>
  </si>
  <si>
    <t>Pipe Roughness, ε</t>
  </si>
  <si>
    <t>REFERENCES</t>
  </si>
  <si>
    <t>[W/m2K]</t>
  </si>
  <si>
    <t>[m2]</t>
  </si>
  <si>
    <r>
      <t>h</t>
    </r>
    <r>
      <rPr>
        <vertAlign val="subscript"/>
        <sz val="11"/>
        <color theme="0"/>
        <rFont val="Calibri"/>
        <family val="2"/>
        <scheme val="minor"/>
      </rPr>
      <t>in</t>
    </r>
  </si>
  <si>
    <r>
      <t>A</t>
    </r>
    <r>
      <rPr>
        <vertAlign val="subscript"/>
        <sz val="11"/>
        <color theme="0"/>
        <rFont val="Calibri"/>
        <family val="2"/>
        <scheme val="minor"/>
      </rPr>
      <t>in</t>
    </r>
  </si>
  <si>
    <r>
      <t>R</t>
    </r>
    <r>
      <rPr>
        <vertAlign val="subscript"/>
        <sz val="11"/>
        <color theme="0"/>
        <rFont val="Calibri"/>
        <family val="2"/>
        <scheme val="minor"/>
      </rPr>
      <t>InnerFlow</t>
    </r>
  </si>
  <si>
    <r>
      <t>R</t>
    </r>
    <r>
      <rPr>
        <vertAlign val="subscript"/>
        <sz val="11"/>
        <color theme="0"/>
        <rFont val="Calibri"/>
        <family val="2"/>
        <scheme val="minor"/>
      </rPr>
      <t>Soil</t>
    </r>
  </si>
  <si>
    <t>WATER PROPERTIES</t>
  </si>
  <si>
    <t>THERMAL RESISTANCE - SOIL</t>
  </si>
  <si>
    <t>THERMAL RESISTANCE - INNER FLOW (TURBULENT!!!)</t>
  </si>
  <si>
    <t>THERMAL RESISTANCE - PIPE MATERIAL</t>
  </si>
  <si>
    <t>OUTPUT</t>
  </si>
  <si>
    <t>Temperature Drop</t>
  </si>
  <si>
    <t>Inlet Temperature</t>
  </si>
  <si>
    <r>
      <t>T</t>
    </r>
    <r>
      <rPr>
        <vertAlign val="subscript"/>
        <sz val="11"/>
        <color theme="0"/>
        <rFont val="Calibri"/>
        <family val="2"/>
        <scheme val="minor"/>
      </rPr>
      <t>soil</t>
    </r>
  </si>
  <si>
    <t>Heat Loss per Length</t>
  </si>
  <si>
    <t>[W/m]</t>
  </si>
  <si>
    <r>
      <t>Thermal Conductivity, λ</t>
    </r>
    <r>
      <rPr>
        <vertAlign val="subscript"/>
        <sz val="11"/>
        <color theme="0"/>
        <rFont val="Calibri"/>
        <family val="2"/>
        <scheme val="minor"/>
      </rPr>
      <t>soil</t>
    </r>
  </si>
  <si>
    <t>Calculation</t>
  </si>
  <si>
    <t>Input</t>
  </si>
  <si>
    <t>Vlookup</t>
  </si>
  <si>
    <t>Output</t>
  </si>
  <si>
    <t>Styles List</t>
  </si>
  <si>
    <t>Polyethylene (HD)</t>
  </si>
  <si>
    <r>
      <t>R</t>
    </r>
    <r>
      <rPr>
        <vertAlign val="subscript"/>
        <sz val="11"/>
        <color theme="1"/>
        <rFont val="Calibri"/>
        <family val="2"/>
        <scheme val="minor"/>
      </rPr>
      <t>Pipe</t>
    </r>
  </si>
  <si>
    <r>
      <t>R</t>
    </r>
    <r>
      <rPr>
        <vertAlign val="subscript"/>
        <sz val="11"/>
        <color theme="1"/>
        <rFont val="Calibri"/>
        <family val="2"/>
        <scheme val="minor"/>
      </rPr>
      <t>Insulation</t>
    </r>
  </si>
  <si>
    <r>
      <t>R</t>
    </r>
    <r>
      <rPr>
        <vertAlign val="subscript"/>
        <sz val="11"/>
        <color theme="1"/>
        <rFont val="Calibri"/>
        <family val="2"/>
        <scheme val="minor"/>
      </rPr>
      <t>Casing</t>
    </r>
  </si>
  <si>
    <t>Nominal Diameter</t>
  </si>
  <si>
    <t>Tout_VB_Simple</t>
  </si>
  <si>
    <t>Tout_VB</t>
  </si>
  <si>
    <t>CALCULATION STEPS</t>
  </si>
  <si>
    <t>VB Function 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</si>
</sst>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E+00"/>
    <numFmt numFmtId="165" formatCode="0.0000"/>
    <numFmt numFmtId="166" formatCode="0.0"/>
    <numFmt numFmtId="167" formatCode="0.00000"/>
    <numFmt numFmtId="168" formatCode="0.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theme="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perscript"/>
      <sz val="11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6"/>
      <color rgb="FF00610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6100"/>
      <name val="Calibri"/>
      <family val="2"/>
      <scheme val="minor"/>
    </font>
    <font>
      <sz val="11"/>
      <color rgb="FF3F3F3F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 tint="0.14993743705557422"/>
      <name val="Calibri"/>
      <family val="2"/>
      <scheme val="minor"/>
    </font>
    <font>
      <sz val="11"/>
      <color theme="3" tint="-0.2499465926084170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0070C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3F3F3F"/>
      </left>
      <right/>
      <top style="thick">
        <color rgb="FF3F3F3F"/>
      </top>
      <bottom style="medium">
        <color indexed="64"/>
      </bottom>
      <diagonal/>
    </border>
    <border>
      <left/>
      <right/>
      <top style="thick">
        <color rgb="FF3F3F3F"/>
      </top>
      <bottom style="medium">
        <color indexed="64"/>
      </bottom>
      <diagonal/>
    </border>
    <border>
      <left/>
      <right style="thin">
        <color rgb="FF3F3F3F"/>
      </right>
      <top style="thick">
        <color rgb="FF3F3F3F"/>
      </top>
      <bottom style="medium">
        <color indexed="64"/>
      </bottom>
      <diagonal/>
    </border>
  </borders>
  <cellStyleXfs count="20">
    <xf numFmtId="0" fontId="0" fillId="0" borderId="0"/>
    <xf numFmtId="0" fontId="4" fillId="0" borderId="0" applyNumberFormat="0" applyFill="0" applyBorder="0" applyAlignment="0" applyProtection="0"/>
    <xf numFmtId="0" fontId="22" fillId="4" borderId="10" applyNumberFormat="0" applyAlignment="0" applyProtection="0"/>
    <xf numFmtId="0" fontId="23" fillId="5" borderId="10" applyNumberFormat="0" applyAlignment="0" applyProtection="0"/>
    <xf numFmtId="0" fontId="25" fillId="6" borderId="0" applyNumberFormat="0" applyBorder="0" applyAlignment="0" applyProtection="0"/>
    <xf numFmtId="0" fontId="26" fillId="5" borderId="13" applyNumberFormat="0" applyAlignment="0" applyProtection="0"/>
    <xf numFmtId="0" fontId="27" fillId="0" borderId="14" applyNumberFormat="0" applyFill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11" borderId="0" applyNumberFormat="0" applyBorder="0" applyAlignment="0" applyProtection="0"/>
    <xf numFmtId="0" fontId="28" fillId="12" borderId="0" applyNumberFormat="0" applyBorder="0" applyAlignment="0" applyProtection="0"/>
    <xf numFmtId="0" fontId="28" fillId="13" borderId="0" applyNumberFormat="0" applyBorder="0" applyAlignment="0" applyProtection="0"/>
    <xf numFmtId="0" fontId="24" fillId="14" borderId="0" applyNumberFormat="0" applyBorder="0" applyAlignment="0" applyProtection="0"/>
    <xf numFmtId="0" fontId="28" fillId="15" borderId="0" applyNumberFormat="0" applyBorder="0" applyAlignment="0" applyProtection="0"/>
    <xf numFmtId="0" fontId="28" fillId="16" borderId="0" applyNumberFormat="0" applyBorder="0" applyAlignment="0" applyProtection="0"/>
    <xf numFmtId="0" fontId="28" fillId="17" borderId="0" applyNumberFormat="0" applyBorder="0" applyAlignment="0" applyProtection="0"/>
    <xf numFmtId="0" fontId="37" fillId="18" borderId="9" applyNumberFormat="0" applyAlignment="0" applyProtection="0"/>
    <xf numFmtId="0" fontId="38" fillId="19" borderId="9" applyNumberFormat="0" applyAlignment="0" applyProtection="0"/>
  </cellStyleXfs>
  <cellXfs count="124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0" xfId="0" applyFont="1"/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1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0" fontId="7" fillId="2" borderId="0" xfId="0" applyFont="1" applyFill="1" applyBorder="1"/>
    <xf numFmtId="2" fontId="0" fillId="2" borderId="0" xfId="0" applyNumberFormat="1" applyFill="1" applyBorder="1"/>
    <xf numFmtId="11" fontId="0" fillId="2" borderId="0" xfId="0" applyNumberFormat="1" applyFill="1" applyBorder="1"/>
    <xf numFmtId="0" fontId="3" fillId="2" borderId="0" xfId="0" applyFont="1" applyFill="1" applyBorder="1"/>
    <xf numFmtId="0" fontId="12" fillId="2" borderId="0" xfId="0" applyFont="1" applyFill="1" applyBorder="1"/>
    <xf numFmtId="0" fontId="3" fillId="2" borderId="0" xfId="0" applyFont="1" applyFill="1" applyBorder="1" applyAlignment="1">
      <alignment horizontal="center"/>
    </xf>
    <xf numFmtId="0" fontId="9" fillId="2" borderId="0" xfId="0" applyFont="1" applyFill="1" applyBorder="1" applyAlignment="1">
      <alignment vertical="center"/>
    </xf>
    <xf numFmtId="0" fontId="10" fillId="2" borderId="0" xfId="0" applyFont="1" applyFill="1" applyBorder="1"/>
    <xf numFmtId="0" fontId="18" fillId="2" borderId="0" xfId="0" applyFont="1" applyFill="1" applyBorder="1"/>
    <xf numFmtId="0" fontId="8" fillId="2" borderId="0" xfId="1" applyFont="1" applyFill="1" applyBorder="1"/>
    <xf numFmtId="0" fontId="0" fillId="2" borderId="0" xfId="0" applyFill="1" applyBorder="1" applyAlignment="1">
      <alignment horizontal="left" vertical="center" indent="1"/>
    </xf>
    <xf numFmtId="0" fontId="14" fillId="2" borderId="0" xfId="0" applyFont="1" applyFill="1" applyBorder="1"/>
    <xf numFmtId="0" fontId="0" fillId="2" borderId="0" xfId="0" applyFont="1" applyFill="1" applyBorder="1"/>
    <xf numFmtId="0" fontId="1" fillId="2" borderId="0" xfId="0" applyFont="1" applyFill="1" applyBorder="1"/>
    <xf numFmtId="1" fontId="0" fillId="2" borderId="0" xfId="0" applyNumberFormat="1" applyFill="1" applyBorder="1"/>
    <xf numFmtId="0" fontId="11" fillId="2" borderId="0" xfId="0" applyFont="1" applyFill="1" applyBorder="1"/>
    <xf numFmtId="0" fontId="5" fillId="2" borderId="0" xfId="0" applyFont="1" applyFill="1" applyBorder="1"/>
    <xf numFmtId="0" fontId="6" fillId="2" borderId="0" xfId="0" applyFont="1" applyFill="1" applyBorder="1"/>
    <xf numFmtId="0" fontId="17" fillId="2" borderId="0" xfId="0" applyFont="1" applyFill="1" applyBorder="1"/>
    <xf numFmtId="0" fontId="21" fillId="2" borderId="0" xfId="0" applyFont="1" applyFill="1" applyBorder="1"/>
    <xf numFmtId="2" fontId="3" fillId="2" borderId="0" xfId="0" applyNumberFormat="1" applyFont="1" applyFill="1" applyBorder="1" applyAlignment="1">
      <alignment horizontal="center"/>
    </xf>
    <xf numFmtId="0" fontId="13" fillId="2" borderId="0" xfId="0" applyFont="1" applyFill="1" applyBorder="1"/>
    <xf numFmtId="0" fontId="15" fillId="2" borderId="0" xfId="0" applyFont="1" applyFill="1" applyBorder="1"/>
    <xf numFmtId="0" fontId="16" fillId="2" borderId="0" xfId="0" applyFont="1" applyFill="1" applyBorder="1" applyProtection="1"/>
    <xf numFmtId="0" fontId="16" fillId="2" borderId="0" xfId="0" applyFont="1" applyFill="1" applyBorder="1" applyAlignment="1" applyProtection="1">
      <alignment horizontal="center"/>
    </xf>
    <xf numFmtId="0" fontId="16" fillId="2" borderId="0" xfId="0" applyFont="1" applyFill="1" applyBorder="1" applyAlignment="1">
      <alignment horizontal="center"/>
    </xf>
    <xf numFmtId="165" fontId="0" fillId="2" borderId="0" xfId="0" applyNumberFormat="1" applyFill="1" applyBorder="1"/>
    <xf numFmtId="0" fontId="2" fillId="2" borderId="0" xfId="0" applyFont="1" applyFill="1" applyBorder="1"/>
    <xf numFmtId="0" fontId="19" fillId="2" borderId="0" xfId="0" applyFont="1" applyFill="1" applyBorder="1"/>
    <xf numFmtId="0" fontId="20" fillId="2" borderId="0" xfId="0" applyFont="1" applyFill="1" applyBorder="1"/>
    <xf numFmtId="0" fontId="4" fillId="0" borderId="0" xfId="1"/>
    <xf numFmtId="0" fontId="4" fillId="2" borderId="0" xfId="1" applyFill="1"/>
    <xf numFmtId="0" fontId="0" fillId="0" borderId="0" xfId="0" applyAlignment="1">
      <alignment wrapText="1"/>
    </xf>
    <xf numFmtId="0" fontId="0" fillId="0" borderId="15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15" xfId="0" applyBorder="1"/>
    <xf numFmtId="0" fontId="0" fillId="0" borderId="12" xfId="0" applyBorder="1"/>
    <xf numFmtId="0" fontId="0" fillId="0" borderId="16" xfId="0" applyBorder="1"/>
    <xf numFmtId="0" fontId="0" fillId="0" borderId="17" xfId="0" applyBorder="1" applyAlignment="1">
      <alignment wrapText="1"/>
    </xf>
    <xf numFmtId="0" fontId="0" fillId="0" borderId="17" xfId="0" applyFill="1" applyBorder="1"/>
    <xf numFmtId="0" fontId="0" fillId="0" borderId="17" xfId="0" applyBorder="1"/>
    <xf numFmtId="0" fontId="0" fillId="0" borderId="18" xfId="0" applyBorder="1"/>
    <xf numFmtId="0" fontId="0" fillId="0" borderId="0" xfId="0" applyFill="1" applyBorder="1" applyAlignment="1">
      <alignment wrapText="1"/>
    </xf>
    <xf numFmtId="166" fontId="0" fillId="0" borderId="0" xfId="0" applyNumberFormat="1"/>
    <xf numFmtId="0" fontId="0" fillId="0" borderId="15" xfId="0" applyFill="1" applyBorder="1" applyAlignment="1">
      <alignment wrapText="1"/>
    </xf>
    <xf numFmtId="0" fontId="0" fillId="0" borderId="17" xfId="0" applyFill="1" applyBorder="1" applyAlignment="1">
      <alignment wrapText="1"/>
    </xf>
    <xf numFmtId="0" fontId="0" fillId="0" borderId="19" xfId="0" applyBorder="1" applyAlignment="1"/>
    <xf numFmtId="0" fontId="0" fillId="0" borderId="20" xfId="0" applyBorder="1" applyAlignment="1"/>
    <xf numFmtId="0" fontId="22" fillId="4" borderId="10" xfId="2"/>
    <xf numFmtId="0" fontId="24" fillId="14" borderId="0" xfId="14"/>
    <xf numFmtId="0" fontId="28" fillId="15" borderId="0" xfId="15"/>
    <xf numFmtId="0" fontId="28" fillId="15" borderId="11" xfId="15" applyBorder="1" applyAlignment="1">
      <alignment horizontal="left"/>
    </xf>
    <xf numFmtId="0" fontId="28" fillId="15" borderId="0" xfId="15" applyBorder="1" applyAlignment="1">
      <alignment horizontal="left"/>
    </xf>
    <xf numFmtId="0" fontId="28" fillId="15" borderId="0" xfId="15" quotePrefix="1" applyBorder="1" applyAlignment="1">
      <alignment horizontal="left"/>
    </xf>
    <xf numFmtId="0" fontId="0" fillId="0" borderId="0" xfId="0" quotePrefix="1"/>
    <xf numFmtId="0" fontId="27" fillId="0" borderId="14" xfId="6"/>
    <xf numFmtId="0" fontId="22" fillId="4" borderId="10" xfId="2" applyAlignment="1">
      <alignment horizontal="right"/>
    </xf>
    <xf numFmtId="0" fontId="23" fillId="5" borderId="10" xfId="3"/>
    <xf numFmtId="164" fontId="23" fillId="5" borderId="10" xfId="3" applyNumberFormat="1"/>
    <xf numFmtId="0" fontId="28" fillId="10" borderId="0" xfId="10"/>
    <xf numFmtId="0" fontId="28" fillId="10" borderId="0" xfId="10" quotePrefix="1"/>
    <xf numFmtId="0" fontId="28" fillId="12" borderId="0" xfId="12"/>
    <xf numFmtId="167" fontId="23" fillId="5" borderId="10" xfId="3" applyNumberFormat="1"/>
    <xf numFmtId="0" fontId="28" fillId="8" borderId="0" xfId="8"/>
    <xf numFmtId="0" fontId="28" fillId="8" borderId="0" xfId="8" quotePrefix="1"/>
    <xf numFmtId="166" fontId="23" fillId="5" borderId="10" xfId="3" applyNumberFormat="1"/>
    <xf numFmtId="0" fontId="28" fillId="17" borderId="0" xfId="17"/>
    <xf numFmtId="0" fontId="28" fillId="17" borderId="0" xfId="17" quotePrefix="1"/>
    <xf numFmtId="0" fontId="26" fillId="5" borderId="13" xfId="5"/>
    <xf numFmtId="2" fontId="23" fillId="5" borderId="10" xfId="3" applyNumberFormat="1"/>
    <xf numFmtId="1" fontId="23" fillId="5" borderId="21" xfId="3" applyNumberFormat="1" applyBorder="1" applyAlignment="1">
      <alignment horizontal="right"/>
    </xf>
    <xf numFmtId="11" fontId="23" fillId="5" borderId="21" xfId="3" applyNumberFormat="1" applyBorder="1" applyAlignment="1">
      <alignment horizontal="right"/>
    </xf>
    <xf numFmtId="0" fontId="28" fillId="10" borderId="0" xfId="10" applyBorder="1"/>
    <xf numFmtId="1" fontId="23" fillId="5" borderId="10" xfId="3" applyNumberFormat="1"/>
    <xf numFmtId="2" fontId="23" fillId="5" borderId="9" xfId="3" applyNumberFormat="1" applyBorder="1"/>
    <xf numFmtId="2" fontId="22" fillId="4" borderId="10" xfId="2" applyNumberFormat="1"/>
    <xf numFmtId="0" fontId="32" fillId="6" borderId="9" xfId="4" applyFont="1" applyBorder="1"/>
    <xf numFmtId="2" fontId="32" fillId="6" borderId="9" xfId="4" applyNumberFormat="1" applyFont="1" applyBorder="1"/>
    <xf numFmtId="0" fontId="34" fillId="6" borderId="9" xfId="4" applyFont="1" applyBorder="1"/>
    <xf numFmtId="0" fontId="35" fillId="5" borderId="9" xfId="5" applyFont="1" applyBorder="1"/>
    <xf numFmtId="0" fontId="35" fillId="5" borderId="13" xfId="5" applyFont="1"/>
    <xf numFmtId="0" fontId="22" fillId="4" borderId="22" xfId="2" applyBorder="1"/>
    <xf numFmtId="0" fontId="28" fillId="16" borderId="7" xfId="16" applyBorder="1" applyAlignment="1">
      <alignment horizontal="center"/>
    </xf>
    <xf numFmtId="0" fontId="0" fillId="14" borderId="0" xfId="14" applyFont="1"/>
    <xf numFmtId="168" fontId="23" fillId="5" borderId="21" xfId="3" applyNumberFormat="1" applyBorder="1" applyAlignment="1">
      <alignment horizontal="right"/>
    </xf>
    <xf numFmtId="0" fontId="27" fillId="0" borderId="14" xfId="6" applyAlignment="1">
      <alignment horizontal="right"/>
    </xf>
    <xf numFmtId="0" fontId="22" fillId="4" borderId="22" xfId="2" applyBorder="1" applyAlignment="1">
      <alignment horizontal="right"/>
    </xf>
    <xf numFmtId="0" fontId="35" fillId="5" borderId="23" xfId="5" applyFont="1" applyBorder="1"/>
    <xf numFmtId="164" fontId="23" fillId="5" borderId="23" xfId="3" applyNumberFormat="1" applyBorder="1"/>
    <xf numFmtId="0" fontId="41" fillId="6" borderId="9" xfId="4" applyFont="1" applyBorder="1"/>
    <xf numFmtId="0" fontId="31" fillId="4" borderId="10" xfId="2" applyFont="1" applyAlignment="1">
      <alignment horizontal="center" vertical="center"/>
    </xf>
    <xf numFmtId="0" fontId="0" fillId="0" borderId="0" xfId="0" applyAlignment="1">
      <alignment horizontal="center"/>
    </xf>
    <xf numFmtId="0" fontId="31" fillId="13" borderId="12" xfId="13" applyFont="1" applyBorder="1" applyAlignment="1">
      <alignment horizontal="center"/>
    </xf>
    <xf numFmtId="0" fontId="31" fillId="11" borderId="12" xfId="11" applyFont="1" applyBorder="1" applyAlignment="1">
      <alignment horizontal="center"/>
    </xf>
    <xf numFmtId="0" fontId="31" fillId="9" borderId="0" xfId="9" applyFont="1" applyAlignment="1">
      <alignment horizontal="center"/>
    </xf>
    <xf numFmtId="0" fontId="31" fillId="7" borderId="0" xfId="7" applyFont="1" applyAlignment="1">
      <alignment horizontal="center"/>
    </xf>
    <xf numFmtId="0" fontId="40" fillId="20" borderId="7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39" fillId="16" borderId="7" xfId="16" applyFont="1" applyBorder="1" applyAlignment="1">
      <alignment horizontal="center" vertical="center"/>
    </xf>
    <xf numFmtId="0" fontId="33" fillId="3" borderId="24" xfId="5" applyFont="1" applyFill="1" applyBorder="1" applyAlignment="1">
      <alignment horizontal="center" vertical="center"/>
    </xf>
    <xf numFmtId="0" fontId="33" fillId="3" borderId="25" xfId="5" applyFont="1" applyFill="1" applyBorder="1" applyAlignment="1">
      <alignment horizontal="center" vertical="center"/>
    </xf>
    <xf numFmtId="0" fontId="33" fillId="3" borderId="26" xfId="5" applyFont="1" applyFill="1" applyBorder="1" applyAlignment="1">
      <alignment horizontal="center" vertical="center"/>
    </xf>
  </cellXfs>
  <cellStyles count="20">
    <cellStyle name="40% - Accent5" xfId="14" builtinId="47"/>
    <cellStyle name="60% - Accent1" xfId="8" builtinId="32"/>
    <cellStyle name="60% - Accent2" xfId="10" builtinId="36"/>
    <cellStyle name="60% - Accent4" xfId="12" builtinId="44"/>
    <cellStyle name="60% - Accent5" xfId="15" builtinId="48"/>
    <cellStyle name="60% - Accent6" xfId="17" builtinId="52"/>
    <cellStyle name="Accent1" xfId="7" builtinId="29"/>
    <cellStyle name="Accent2" xfId="9" builtinId="33"/>
    <cellStyle name="Accent4" xfId="11" builtinId="41"/>
    <cellStyle name="Accent5" xfId="13" builtinId="45"/>
    <cellStyle name="Accent6" xfId="16" builtinId="49"/>
    <cellStyle name="Calculation" xfId="3" builtinId="22"/>
    <cellStyle name="Calculation 2" xfId="18"/>
    <cellStyle name="Good" xfId="4" builtinId="26"/>
    <cellStyle name="Hyperlink" xfId="1" builtinId="8"/>
    <cellStyle name="Input" xfId="2" builtinId="20"/>
    <cellStyle name="Linked Cell" xfId="6" builtinId="24"/>
    <cellStyle name="Linked Cell 2" xfId="19"/>
    <cellStyle name="Normal" xfId="0" builtinId="0"/>
    <cellStyle name="Output" xfId="5" builtinId="21"/>
  </cellStyles>
  <dxfs count="0"/>
  <tableStyles count="0" defaultTableStyle="TableStyleMedium2" defaultPivotStyle="PivotStyleLight16"/>
  <colors>
    <mruColors>
      <color rgb="FFB46F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506846019247594"/>
          <c:y val="2.8252405949256341E-2"/>
          <c:w val="0.74713998250218727"/>
          <c:h val="0.832619568387284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7.9178477690288712E-2"/>
                  <c:y val="-0.50008821813939919"/>
                </c:manualLayout>
              </c:layout>
              <c:numFmt formatCode="General" sourceLinked="0"/>
            </c:trendlineLbl>
          </c:trendline>
          <c:xVal>
            <c:numRef>
              <c:f>'air properties'!$B$7:$B$24</c:f>
              <c:numCache>
                <c:formatCode>General</c:formatCode>
                <c:ptCount val="18"/>
                <c:pt idx="0">
                  <c:v>-150</c:v>
                </c:pt>
                <c:pt idx="1">
                  <c:v>-100</c:v>
                </c:pt>
                <c:pt idx="2">
                  <c:v>-50</c:v>
                </c:pt>
                <c:pt idx="3">
                  <c:v>0</c:v>
                </c:pt>
                <c:pt idx="4">
                  <c:v>20</c:v>
                </c:pt>
                <c:pt idx="5">
                  <c:v>40</c:v>
                </c:pt>
                <c:pt idx="6">
                  <c:v>60</c:v>
                </c:pt>
                <c:pt idx="7">
                  <c:v>80</c:v>
                </c:pt>
                <c:pt idx="8">
                  <c:v>100</c:v>
                </c:pt>
                <c:pt idx="9">
                  <c:v>120</c:v>
                </c:pt>
                <c:pt idx="10">
                  <c:v>140</c:v>
                </c:pt>
                <c:pt idx="11">
                  <c:v>160</c:v>
                </c:pt>
                <c:pt idx="12">
                  <c:v>180</c:v>
                </c:pt>
                <c:pt idx="13">
                  <c:v>200</c:v>
                </c:pt>
                <c:pt idx="14">
                  <c:v>250</c:v>
                </c:pt>
                <c:pt idx="15">
                  <c:v>300</c:v>
                </c:pt>
                <c:pt idx="16">
                  <c:v>350</c:v>
                </c:pt>
                <c:pt idx="17">
                  <c:v>400</c:v>
                </c:pt>
              </c:numCache>
            </c:numRef>
          </c:xVal>
          <c:yVal>
            <c:numRef>
              <c:f>'air properties'!$C$7:$C$24</c:f>
              <c:numCache>
                <c:formatCode>General</c:formatCode>
                <c:ptCount val="18"/>
                <c:pt idx="0">
                  <c:v>2.7930000000000001</c:v>
                </c:pt>
                <c:pt idx="1">
                  <c:v>1.98</c:v>
                </c:pt>
                <c:pt idx="2">
                  <c:v>1.534</c:v>
                </c:pt>
                <c:pt idx="3">
                  <c:v>1.2929999999999999</c:v>
                </c:pt>
                <c:pt idx="4">
                  <c:v>1.2050000000000001</c:v>
                </c:pt>
                <c:pt idx="5">
                  <c:v>1.127</c:v>
                </c:pt>
                <c:pt idx="6">
                  <c:v>1.0669999999999999</c:v>
                </c:pt>
                <c:pt idx="7">
                  <c:v>1</c:v>
                </c:pt>
                <c:pt idx="8">
                  <c:v>0.94599999999999995</c:v>
                </c:pt>
                <c:pt idx="9">
                  <c:v>0.89800000000000002</c:v>
                </c:pt>
                <c:pt idx="10">
                  <c:v>0.85399999999999998</c:v>
                </c:pt>
                <c:pt idx="11">
                  <c:v>0.81499999999999995</c:v>
                </c:pt>
                <c:pt idx="12">
                  <c:v>0.77900000000000003</c:v>
                </c:pt>
                <c:pt idx="13">
                  <c:v>0.746</c:v>
                </c:pt>
                <c:pt idx="14">
                  <c:v>0.67500000000000004</c:v>
                </c:pt>
                <c:pt idx="15">
                  <c:v>0.61599999999999999</c:v>
                </c:pt>
                <c:pt idx="16">
                  <c:v>0.56599999999999995</c:v>
                </c:pt>
                <c:pt idx="17">
                  <c:v>0.52400000000000002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79712"/>
        <c:axId val="180181248"/>
      </c:scatterChart>
      <c:valAx>
        <c:axId val="180179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181248"/>
        <c:crosses val="autoZero"/>
        <c:crossBetween val="midCat"/>
      </c:valAx>
      <c:valAx>
        <c:axId val="180181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1797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0.47425787401574804"/>
                  <c:y val="0.11884186351706037"/>
                </c:manualLayout>
              </c:layout>
              <c:numFmt formatCode="General" sourceLinked="0"/>
            </c:trendlineLbl>
          </c:trendline>
          <c:xVal>
            <c:numRef>
              <c:f>'air properties'!$B$7:$B$24</c:f>
              <c:numCache>
                <c:formatCode>General</c:formatCode>
                <c:ptCount val="18"/>
                <c:pt idx="0">
                  <c:v>-150</c:v>
                </c:pt>
                <c:pt idx="1">
                  <c:v>-100</c:v>
                </c:pt>
                <c:pt idx="2">
                  <c:v>-50</c:v>
                </c:pt>
                <c:pt idx="3">
                  <c:v>0</c:v>
                </c:pt>
                <c:pt idx="4">
                  <c:v>20</c:v>
                </c:pt>
                <c:pt idx="5">
                  <c:v>40</c:v>
                </c:pt>
                <c:pt idx="6">
                  <c:v>60</c:v>
                </c:pt>
                <c:pt idx="7">
                  <c:v>80</c:v>
                </c:pt>
                <c:pt idx="8">
                  <c:v>100</c:v>
                </c:pt>
                <c:pt idx="9">
                  <c:v>120</c:v>
                </c:pt>
                <c:pt idx="10">
                  <c:v>140</c:v>
                </c:pt>
                <c:pt idx="11">
                  <c:v>160</c:v>
                </c:pt>
                <c:pt idx="12">
                  <c:v>180</c:v>
                </c:pt>
                <c:pt idx="13">
                  <c:v>200</c:v>
                </c:pt>
                <c:pt idx="14">
                  <c:v>250</c:v>
                </c:pt>
                <c:pt idx="15">
                  <c:v>300</c:v>
                </c:pt>
                <c:pt idx="16">
                  <c:v>350</c:v>
                </c:pt>
                <c:pt idx="17">
                  <c:v>400</c:v>
                </c:pt>
              </c:numCache>
            </c:numRef>
          </c:xVal>
          <c:yVal>
            <c:numRef>
              <c:f>'air properties'!$D$7:$D$24</c:f>
              <c:numCache>
                <c:formatCode>General</c:formatCode>
                <c:ptCount val="18"/>
                <c:pt idx="0">
                  <c:v>1.026</c:v>
                </c:pt>
                <c:pt idx="1">
                  <c:v>1.0089999999999999</c:v>
                </c:pt>
                <c:pt idx="2">
                  <c:v>1.0049999999999999</c:v>
                </c:pt>
                <c:pt idx="3">
                  <c:v>1.0049999999999999</c:v>
                </c:pt>
                <c:pt idx="4">
                  <c:v>1.0049999999999999</c:v>
                </c:pt>
                <c:pt idx="5">
                  <c:v>1.0049999999999999</c:v>
                </c:pt>
                <c:pt idx="6">
                  <c:v>1.0089999999999999</c:v>
                </c:pt>
                <c:pt idx="7">
                  <c:v>1.0089999999999999</c:v>
                </c:pt>
                <c:pt idx="8">
                  <c:v>1.0089999999999999</c:v>
                </c:pt>
                <c:pt idx="9">
                  <c:v>1.0129999999999999</c:v>
                </c:pt>
                <c:pt idx="10">
                  <c:v>1.0129999999999999</c:v>
                </c:pt>
                <c:pt idx="11">
                  <c:v>1.0169999999999999</c:v>
                </c:pt>
                <c:pt idx="12">
                  <c:v>1.022</c:v>
                </c:pt>
                <c:pt idx="13">
                  <c:v>1.026</c:v>
                </c:pt>
                <c:pt idx="14">
                  <c:v>1.034</c:v>
                </c:pt>
                <c:pt idx="15">
                  <c:v>1.0469999999999999</c:v>
                </c:pt>
                <c:pt idx="16">
                  <c:v>1.0549999999999999</c:v>
                </c:pt>
                <c:pt idx="17">
                  <c:v>1.0680000000000001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98016"/>
        <c:axId val="180220288"/>
      </c:scatterChart>
      <c:valAx>
        <c:axId val="180198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220288"/>
        <c:crosses val="autoZero"/>
        <c:crossBetween val="midCat"/>
      </c:valAx>
      <c:valAx>
        <c:axId val="180220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1980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'air properties'!$B$7:$B$24</c:f>
              <c:numCache>
                <c:formatCode>General</c:formatCode>
                <c:ptCount val="18"/>
                <c:pt idx="0">
                  <c:v>-150</c:v>
                </c:pt>
                <c:pt idx="1">
                  <c:v>-100</c:v>
                </c:pt>
                <c:pt idx="2">
                  <c:v>-50</c:v>
                </c:pt>
                <c:pt idx="3">
                  <c:v>0</c:v>
                </c:pt>
                <c:pt idx="4">
                  <c:v>20</c:v>
                </c:pt>
                <c:pt idx="5">
                  <c:v>40</c:v>
                </c:pt>
                <c:pt idx="6">
                  <c:v>60</c:v>
                </c:pt>
                <c:pt idx="7">
                  <c:v>80</c:v>
                </c:pt>
                <c:pt idx="8">
                  <c:v>100</c:v>
                </c:pt>
                <c:pt idx="9">
                  <c:v>120</c:v>
                </c:pt>
                <c:pt idx="10">
                  <c:v>140</c:v>
                </c:pt>
                <c:pt idx="11">
                  <c:v>160</c:v>
                </c:pt>
                <c:pt idx="12">
                  <c:v>180</c:v>
                </c:pt>
                <c:pt idx="13">
                  <c:v>200</c:v>
                </c:pt>
                <c:pt idx="14">
                  <c:v>250</c:v>
                </c:pt>
                <c:pt idx="15">
                  <c:v>300</c:v>
                </c:pt>
                <c:pt idx="16">
                  <c:v>350</c:v>
                </c:pt>
                <c:pt idx="17">
                  <c:v>400</c:v>
                </c:pt>
              </c:numCache>
            </c:numRef>
          </c:xVal>
          <c:yVal>
            <c:numRef>
              <c:f>'air properties'!$E$7:$E$24</c:f>
              <c:numCache>
                <c:formatCode>General</c:formatCode>
                <c:ptCount val="18"/>
                <c:pt idx="0">
                  <c:v>1.1599999999999999E-2</c:v>
                </c:pt>
                <c:pt idx="1">
                  <c:v>1.6E-2</c:v>
                </c:pt>
                <c:pt idx="2">
                  <c:v>2.0400000000000001E-2</c:v>
                </c:pt>
                <c:pt idx="3">
                  <c:v>2.4299999999999999E-2</c:v>
                </c:pt>
                <c:pt idx="4">
                  <c:v>2.5700000000000001E-2</c:v>
                </c:pt>
                <c:pt idx="5">
                  <c:v>2.7099999999999999E-2</c:v>
                </c:pt>
                <c:pt idx="6">
                  <c:v>2.8500000000000001E-2</c:v>
                </c:pt>
                <c:pt idx="7">
                  <c:v>2.9899999999999999E-2</c:v>
                </c:pt>
                <c:pt idx="8">
                  <c:v>3.1399999999999997E-2</c:v>
                </c:pt>
                <c:pt idx="9">
                  <c:v>3.2800000000000003E-2</c:v>
                </c:pt>
                <c:pt idx="10">
                  <c:v>3.4299999999999997E-2</c:v>
                </c:pt>
                <c:pt idx="11">
                  <c:v>3.5799999999999998E-2</c:v>
                </c:pt>
                <c:pt idx="12">
                  <c:v>3.7199999999999997E-2</c:v>
                </c:pt>
                <c:pt idx="13">
                  <c:v>3.8600000000000002E-2</c:v>
                </c:pt>
                <c:pt idx="14">
                  <c:v>4.2099999999999999E-2</c:v>
                </c:pt>
                <c:pt idx="15">
                  <c:v>4.5400000000000003E-2</c:v>
                </c:pt>
                <c:pt idx="16">
                  <c:v>4.8500000000000001E-2</c:v>
                </c:pt>
                <c:pt idx="17">
                  <c:v>5.1499999999999997E-2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19680"/>
        <c:axId val="180521216"/>
      </c:scatterChart>
      <c:valAx>
        <c:axId val="180519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521216"/>
        <c:crosses val="autoZero"/>
        <c:crossBetween val="midCat"/>
      </c:valAx>
      <c:valAx>
        <c:axId val="180521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5196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3"/>
          <c:order val="0"/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0.14985498687664042"/>
                  <c:y val="-4.7462817147856518E-4"/>
                </c:manualLayout>
              </c:layout>
              <c:numFmt formatCode="General" sourceLinked="0"/>
            </c:trendlineLbl>
          </c:trendline>
          <c:xVal>
            <c:numRef>
              <c:f>'air properties'!$B$7:$B$24</c:f>
              <c:numCache>
                <c:formatCode>General</c:formatCode>
                <c:ptCount val="18"/>
                <c:pt idx="0">
                  <c:v>-150</c:v>
                </c:pt>
                <c:pt idx="1">
                  <c:v>-100</c:v>
                </c:pt>
                <c:pt idx="2">
                  <c:v>-50</c:v>
                </c:pt>
                <c:pt idx="3">
                  <c:v>0</c:v>
                </c:pt>
                <c:pt idx="4">
                  <c:v>20</c:v>
                </c:pt>
                <c:pt idx="5">
                  <c:v>40</c:v>
                </c:pt>
                <c:pt idx="6">
                  <c:v>60</c:v>
                </c:pt>
                <c:pt idx="7">
                  <c:v>80</c:v>
                </c:pt>
                <c:pt idx="8">
                  <c:v>100</c:v>
                </c:pt>
                <c:pt idx="9">
                  <c:v>120</c:v>
                </c:pt>
                <c:pt idx="10">
                  <c:v>140</c:v>
                </c:pt>
                <c:pt idx="11">
                  <c:v>160</c:v>
                </c:pt>
                <c:pt idx="12">
                  <c:v>180</c:v>
                </c:pt>
                <c:pt idx="13">
                  <c:v>200</c:v>
                </c:pt>
                <c:pt idx="14">
                  <c:v>250</c:v>
                </c:pt>
                <c:pt idx="15">
                  <c:v>300</c:v>
                </c:pt>
                <c:pt idx="16">
                  <c:v>350</c:v>
                </c:pt>
                <c:pt idx="17">
                  <c:v>400</c:v>
                </c:pt>
              </c:numCache>
            </c:numRef>
          </c:xVal>
          <c:yVal>
            <c:numRef>
              <c:f>'air properties'!$F$7:$F$24</c:f>
              <c:numCache>
                <c:formatCode>General</c:formatCode>
                <c:ptCount val="18"/>
                <c:pt idx="0">
                  <c:v>3.08</c:v>
                </c:pt>
                <c:pt idx="1">
                  <c:v>5.95</c:v>
                </c:pt>
                <c:pt idx="2">
                  <c:v>9.5500000000000007</c:v>
                </c:pt>
                <c:pt idx="3">
                  <c:v>13.3</c:v>
                </c:pt>
                <c:pt idx="4">
                  <c:v>15.11</c:v>
                </c:pt>
                <c:pt idx="5">
                  <c:v>16.97</c:v>
                </c:pt>
                <c:pt idx="6">
                  <c:v>18.899999999999999</c:v>
                </c:pt>
                <c:pt idx="7">
                  <c:v>20.94</c:v>
                </c:pt>
                <c:pt idx="8">
                  <c:v>23.06</c:v>
                </c:pt>
                <c:pt idx="9">
                  <c:v>25.23</c:v>
                </c:pt>
                <c:pt idx="10">
                  <c:v>27.55</c:v>
                </c:pt>
                <c:pt idx="11">
                  <c:v>29.85</c:v>
                </c:pt>
                <c:pt idx="12">
                  <c:v>32.29</c:v>
                </c:pt>
                <c:pt idx="13">
                  <c:v>34.630000000000003</c:v>
                </c:pt>
                <c:pt idx="14">
                  <c:v>41.17</c:v>
                </c:pt>
                <c:pt idx="15">
                  <c:v>47.85</c:v>
                </c:pt>
                <c:pt idx="16">
                  <c:v>55.05</c:v>
                </c:pt>
                <c:pt idx="17">
                  <c:v>62.53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31488"/>
        <c:axId val="180445568"/>
      </c:scatterChart>
      <c:valAx>
        <c:axId val="180431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445568"/>
        <c:crosses val="autoZero"/>
        <c:crossBetween val="midCat"/>
      </c:valAx>
      <c:valAx>
        <c:axId val="18044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4314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29</xdr:row>
      <xdr:rowOff>138112</xdr:rowOff>
    </xdr:from>
    <xdr:to>
      <xdr:col>8</xdr:col>
      <xdr:colOff>495300</xdr:colOff>
      <xdr:row>44</xdr:row>
      <xdr:rowOff>23812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171450</xdr:colOff>
      <xdr:row>47</xdr:row>
      <xdr:rowOff>47624</xdr:rowOff>
    </xdr:from>
    <xdr:to>
      <xdr:col>8</xdr:col>
      <xdr:colOff>466725</xdr:colOff>
      <xdr:row>61</xdr:row>
      <xdr:rowOff>119061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171450</xdr:colOff>
      <xdr:row>65</xdr:row>
      <xdr:rowOff>85725</xdr:rowOff>
    </xdr:from>
    <xdr:to>
      <xdr:col>8</xdr:col>
      <xdr:colOff>600075</xdr:colOff>
      <xdr:row>79</xdr:row>
      <xdr:rowOff>147637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95250</xdr:colOff>
      <xdr:row>84</xdr:row>
      <xdr:rowOff>85725</xdr:rowOff>
    </xdr:from>
    <xdr:to>
      <xdr:col>8</xdr:col>
      <xdr:colOff>542925</xdr:colOff>
      <xdr:row>99</xdr:row>
      <xdr:rowOff>52387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53</xdr:row>
      <xdr:rowOff>123825</xdr:rowOff>
    </xdr:from>
    <xdr:to>
      <xdr:col>2</xdr:col>
      <xdr:colOff>28575</xdr:colOff>
      <xdr:row>53</xdr:row>
      <xdr:rowOff>123826</xdr:rowOff>
    </xdr:to>
    <xdr:cxnSp macro="">
      <xdr:nvCxnSpPr>
        <xdr:cNvPr id="15" name="Straight Arrow Connector 14"/>
        <xdr:cNvCxnSpPr/>
      </xdr:nvCxnSpPr>
      <xdr:spPr>
        <a:xfrm flipV="1">
          <a:off x="714375" y="10315575"/>
          <a:ext cx="533400" cy="1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85725</xdr:colOff>
      <xdr:row>80</xdr:row>
      <xdr:rowOff>19050</xdr:rowOff>
    </xdr:from>
    <xdr:to>
      <xdr:col>2</xdr:col>
      <xdr:colOff>91874</xdr:colOff>
      <xdr:row>80</xdr:row>
      <xdr:rowOff>177560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5325" y="15373350"/>
          <a:ext cx="615749" cy="15851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53</xdr:row>
      <xdr:rowOff>104775</xdr:rowOff>
    </xdr:from>
    <xdr:to>
      <xdr:col>1</xdr:col>
      <xdr:colOff>95250</xdr:colOff>
      <xdr:row>80</xdr:row>
      <xdr:rowOff>98305</xdr:rowOff>
    </xdr:to>
    <xdr:cxnSp macro="">
      <xdr:nvCxnSpPr>
        <xdr:cNvPr id="22" name="Straight Connector 21"/>
        <xdr:cNvCxnSpPr>
          <a:endCxn id="20" idx="1"/>
        </xdr:cNvCxnSpPr>
      </xdr:nvCxnSpPr>
      <xdr:spPr>
        <a:xfrm flipH="1">
          <a:off x="695325" y="10296525"/>
          <a:ext cx="9525" cy="5156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502708</xdr:colOff>
      <xdr:row>31</xdr:row>
      <xdr:rowOff>15147</xdr:rowOff>
    </xdr:from>
    <xdr:to>
      <xdr:col>5</xdr:col>
      <xdr:colOff>371475</xdr:colOff>
      <xdr:row>34</xdr:row>
      <xdr:rowOff>39276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50683" y="2958372"/>
          <a:ext cx="2707217" cy="709929"/>
        </a:xfrm>
        <a:prstGeom prst="rect">
          <a:avLst/>
        </a:prstGeom>
      </xdr:spPr>
    </xdr:pic>
    <xdr:clientData/>
  </xdr:twoCellAnchor>
  <xdr:twoCellAnchor>
    <xdr:from>
      <xdr:col>7</xdr:col>
      <xdr:colOff>666643</xdr:colOff>
      <xdr:row>14</xdr:row>
      <xdr:rowOff>7408</xdr:rowOff>
    </xdr:from>
    <xdr:to>
      <xdr:col>13</xdr:col>
      <xdr:colOff>533401</xdr:colOff>
      <xdr:row>27</xdr:row>
      <xdr:rowOff>185208</xdr:rowOff>
    </xdr:to>
    <xdr:grpSp>
      <xdr:nvGrpSpPr>
        <xdr:cNvPr id="15" name="Group 14"/>
        <xdr:cNvGrpSpPr/>
      </xdr:nvGrpSpPr>
      <xdr:grpSpPr>
        <a:xfrm>
          <a:off x="7991368" y="2988733"/>
          <a:ext cx="4543533" cy="2882900"/>
          <a:chOff x="15472726" y="349250"/>
          <a:chExt cx="4201691" cy="2688167"/>
        </a:xfrm>
      </xdr:grpSpPr>
      <xdr:sp macro="" textlink="">
        <xdr:nvSpPr>
          <xdr:cNvPr id="16" name="Freeform 15"/>
          <xdr:cNvSpPr/>
        </xdr:nvSpPr>
        <xdr:spPr>
          <a:xfrm>
            <a:off x="15472726" y="349250"/>
            <a:ext cx="4201691" cy="2688167"/>
          </a:xfrm>
          <a:custGeom>
            <a:avLst/>
            <a:gdLst>
              <a:gd name="connsiteX0" fmla="*/ 201083 w 4085167"/>
              <a:gd name="connsiteY0" fmla="*/ 0 h 2688167"/>
              <a:gd name="connsiteX1" fmla="*/ 201083 w 4085167"/>
              <a:gd name="connsiteY1" fmla="*/ 0 h 2688167"/>
              <a:gd name="connsiteX2" fmla="*/ 3937000 w 4085167"/>
              <a:gd name="connsiteY2" fmla="*/ 0 h 2688167"/>
              <a:gd name="connsiteX3" fmla="*/ 4085167 w 4085167"/>
              <a:gd name="connsiteY3" fmla="*/ 793750 h 2688167"/>
              <a:gd name="connsiteX4" fmla="*/ 3714750 w 4085167"/>
              <a:gd name="connsiteY4" fmla="*/ 1894417 h 2688167"/>
              <a:gd name="connsiteX5" fmla="*/ 2550583 w 4085167"/>
              <a:gd name="connsiteY5" fmla="*/ 2688167 h 2688167"/>
              <a:gd name="connsiteX6" fmla="*/ 1714500 w 4085167"/>
              <a:gd name="connsiteY6" fmla="*/ 2688167 h 2688167"/>
              <a:gd name="connsiteX7" fmla="*/ 1651000 w 4085167"/>
              <a:gd name="connsiteY7" fmla="*/ 2592917 h 2688167"/>
              <a:gd name="connsiteX8" fmla="*/ 698500 w 4085167"/>
              <a:gd name="connsiteY8" fmla="*/ 1756833 h 2688167"/>
              <a:gd name="connsiteX9" fmla="*/ 0 w 4085167"/>
              <a:gd name="connsiteY9" fmla="*/ 762000 h 2688167"/>
              <a:gd name="connsiteX10" fmla="*/ 84667 w 4085167"/>
              <a:gd name="connsiteY10" fmla="*/ 719667 h 2688167"/>
              <a:gd name="connsiteX11" fmla="*/ 423333 w 4085167"/>
              <a:gd name="connsiteY11" fmla="*/ 402167 h 2688167"/>
              <a:gd name="connsiteX12" fmla="*/ 74083 w 4085167"/>
              <a:gd name="connsiteY12" fmla="*/ 31750 h 2688167"/>
              <a:gd name="connsiteX13" fmla="*/ 201083 w 4085167"/>
              <a:gd name="connsiteY13" fmla="*/ 0 h 2688167"/>
              <a:gd name="connsiteX0" fmla="*/ 296333 w 4180417"/>
              <a:gd name="connsiteY0" fmla="*/ 0 h 2688167"/>
              <a:gd name="connsiteX1" fmla="*/ 296333 w 4180417"/>
              <a:gd name="connsiteY1" fmla="*/ 0 h 2688167"/>
              <a:gd name="connsiteX2" fmla="*/ 4032250 w 4180417"/>
              <a:gd name="connsiteY2" fmla="*/ 0 h 2688167"/>
              <a:gd name="connsiteX3" fmla="*/ 4180417 w 4180417"/>
              <a:gd name="connsiteY3" fmla="*/ 793750 h 2688167"/>
              <a:gd name="connsiteX4" fmla="*/ 3810000 w 4180417"/>
              <a:gd name="connsiteY4" fmla="*/ 1894417 h 2688167"/>
              <a:gd name="connsiteX5" fmla="*/ 2645833 w 4180417"/>
              <a:gd name="connsiteY5" fmla="*/ 2688167 h 2688167"/>
              <a:gd name="connsiteX6" fmla="*/ 1809750 w 4180417"/>
              <a:gd name="connsiteY6" fmla="*/ 2688167 h 2688167"/>
              <a:gd name="connsiteX7" fmla="*/ 1746250 w 4180417"/>
              <a:gd name="connsiteY7" fmla="*/ 2592917 h 2688167"/>
              <a:gd name="connsiteX8" fmla="*/ 793750 w 4180417"/>
              <a:gd name="connsiteY8" fmla="*/ 1756833 h 2688167"/>
              <a:gd name="connsiteX9" fmla="*/ 95250 w 4180417"/>
              <a:gd name="connsiteY9" fmla="*/ 762000 h 2688167"/>
              <a:gd name="connsiteX10" fmla="*/ 179917 w 4180417"/>
              <a:gd name="connsiteY10" fmla="*/ 719667 h 2688167"/>
              <a:gd name="connsiteX11" fmla="*/ 0 w 4180417"/>
              <a:gd name="connsiteY11" fmla="*/ 402167 h 2688167"/>
              <a:gd name="connsiteX12" fmla="*/ 169333 w 4180417"/>
              <a:gd name="connsiteY12" fmla="*/ 31750 h 2688167"/>
              <a:gd name="connsiteX13" fmla="*/ 296333 w 4180417"/>
              <a:gd name="connsiteY13" fmla="*/ 0 h 2688167"/>
              <a:gd name="connsiteX0" fmla="*/ 319281 w 4203365"/>
              <a:gd name="connsiteY0" fmla="*/ 0 h 2688167"/>
              <a:gd name="connsiteX1" fmla="*/ 319281 w 4203365"/>
              <a:gd name="connsiteY1" fmla="*/ 0 h 2688167"/>
              <a:gd name="connsiteX2" fmla="*/ 4055198 w 4203365"/>
              <a:gd name="connsiteY2" fmla="*/ 0 h 2688167"/>
              <a:gd name="connsiteX3" fmla="*/ 4203365 w 4203365"/>
              <a:gd name="connsiteY3" fmla="*/ 793750 h 2688167"/>
              <a:gd name="connsiteX4" fmla="*/ 3832948 w 4203365"/>
              <a:gd name="connsiteY4" fmla="*/ 1894417 h 2688167"/>
              <a:gd name="connsiteX5" fmla="*/ 2668781 w 4203365"/>
              <a:gd name="connsiteY5" fmla="*/ 2688167 h 2688167"/>
              <a:gd name="connsiteX6" fmla="*/ 1832698 w 4203365"/>
              <a:gd name="connsiteY6" fmla="*/ 2688167 h 2688167"/>
              <a:gd name="connsiteX7" fmla="*/ 1769198 w 4203365"/>
              <a:gd name="connsiteY7" fmla="*/ 2592917 h 2688167"/>
              <a:gd name="connsiteX8" fmla="*/ 816698 w 4203365"/>
              <a:gd name="connsiteY8" fmla="*/ 1756833 h 2688167"/>
              <a:gd name="connsiteX9" fmla="*/ 118198 w 4203365"/>
              <a:gd name="connsiteY9" fmla="*/ 762000 h 2688167"/>
              <a:gd name="connsiteX10" fmla="*/ 1782 w 4203365"/>
              <a:gd name="connsiteY10" fmla="*/ 624417 h 2688167"/>
              <a:gd name="connsiteX11" fmla="*/ 22948 w 4203365"/>
              <a:gd name="connsiteY11" fmla="*/ 402167 h 2688167"/>
              <a:gd name="connsiteX12" fmla="*/ 192281 w 4203365"/>
              <a:gd name="connsiteY12" fmla="*/ 31750 h 2688167"/>
              <a:gd name="connsiteX13" fmla="*/ 319281 w 4203365"/>
              <a:gd name="connsiteY13" fmla="*/ 0 h 2688167"/>
              <a:gd name="connsiteX0" fmla="*/ 319281 w 4203365"/>
              <a:gd name="connsiteY0" fmla="*/ 0 h 2688167"/>
              <a:gd name="connsiteX1" fmla="*/ 319281 w 4203365"/>
              <a:gd name="connsiteY1" fmla="*/ 0 h 2688167"/>
              <a:gd name="connsiteX2" fmla="*/ 4055198 w 4203365"/>
              <a:gd name="connsiteY2" fmla="*/ 0 h 2688167"/>
              <a:gd name="connsiteX3" fmla="*/ 4203365 w 4203365"/>
              <a:gd name="connsiteY3" fmla="*/ 793750 h 2688167"/>
              <a:gd name="connsiteX4" fmla="*/ 3832948 w 4203365"/>
              <a:gd name="connsiteY4" fmla="*/ 1894417 h 2688167"/>
              <a:gd name="connsiteX5" fmla="*/ 2668781 w 4203365"/>
              <a:gd name="connsiteY5" fmla="*/ 2688167 h 2688167"/>
              <a:gd name="connsiteX6" fmla="*/ 1832698 w 4203365"/>
              <a:gd name="connsiteY6" fmla="*/ 2688167 h 2688167"/>
              <a:gd name="connsiteX7" fmla="*/ 1769198 w 4203365"/>
              <a:gd name="connsiteY7" fmla="*/ 2592917 h 2688167"/>
              <a:gd name="connsiteX8" fmla="*/ 615614 w 4203365"/>
              <a:gd name="connsiteY8" fmla="*/ 1968500 h 2688167"/>
              <a:gd name="connsiteX9" fmla="*/ 118198 w 4203365"/>
              <a:gd name="connsiteY9" fmla="*/ 762000 h 2688167"/>
              <a:gd name="connsiteX10" fmla="*/ 1782 w 4203365"/>
              <a:gd name="connsiteY10" fmla="*/ 624417 h 2688167"/>
              <a:gd name="connsiteX11" fmla="*/ 22948 w 4203365"/>
              <a:gd name="connsiteY11" fmla="*/ 402167 h 2688167"/>
              <a:gd name="connsiteX12" fmla="*/ 192281 w 4203365"/>
              <a:gd name="connsiteY12" fmla="*/ 31750 h 2688167"/>
              <a:gd name="connsiteX13" fmla="*/ 319281 w 4203365"/>
              <a:gd name="connsiteY13" fmla="*/ 0 h 2688167"/>
              <a:gd name="connsiteX0" fmla="*/ 317607 w 4201691"/>
              <a:gd name="connsiteY0" fmla="*/ 0 h 2688167"/>
              <a:gd name="connsiteX1" fmla="*/ 317607 w 4201691"/>
              <a:gd name="connsiteY1" fmla="*/ 0 h 2688167"/>
              <a:gd name="connsiteX2" fmla="*/ 4053524 w 4201691"/>
              <a:gd name="connsiteY2" fmla="*/ 0 h 2688167"/>
              <a:gd name="connsiteX3" fmla="*/ 4201691 w 4201691"/>
              <a:gd name="connsiteY3" fmla="*/ 793750 h 2688167"/>
              <a:gd name="connsiteX4" fmla="*/ 3831274 w 4201691"/>
              <a:gd name="connsiteY4" fmla="*/ 1894417 h 2688167"/>
              <a:gd name="connsiteX5" fmla="*/ 2667107 w 4201691"/>
              <a:gd name="connsiteY5" fmla="*/ 2688167 h 2688167"/>
              <a:gd name="connsiteX6" fmla="*/ 1831024 w 4201691"/>
              <a:gd name="connsiteY6" fmla="*/ 2688167 h 2688167"/>
              <a:gd name="connsiteX7" fmla="*/ 1767524 w 4201691"/>
              <a:gd name="connsiteY7" fmla="*/ 2592917 h 2688167"/>
              <a:gd name="connsiteX8" fmla="*/ 613940 w 4201691"/>
              <a:gd name="connsiteY8" fmla="*/ 1968500 h 2688167"/>
              <a:gd name="connsiteX9" fmla="*/ 42440 w 4201691"/>
              <a:gd name="connsiteY9" fmla="*/ 984250 h 2688167"/>
              <a:gd name="connsiteX10" fmla="*/ 108 w 4201691"/>
              <a:gd name="connsiteY10" fmla="*/ 624417 h 2688167"/>
              <a:gd name="connsiteX11" fmla="*/ 21274 w 4201691"/>
              <a:gd name="connsiteY11" fmla="*/ 402167 h 2688167"/>
              <a:gd name="connsiteX12" fmla="*/ 190607 w 4201691"/>
              <a:gd name="connsiteY12" fmla="*/ 31750 h 2688167"/>
              <a:gd name="connsiteX13" fmla="*/ 317607 w 4201691"/>
              <a:gd name="connsiteY13" fmla="*/ 0 h 26881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201691" h="2688167">
                <a:moveTo>
                  <a:pt x="317607" y="0"/>
                </a:moveTo>
                <a:lnTo>
                  <a:pt x="317607" y="0"/>
                </a:lnTo>
                <a:lnTo>
                  <a:pt x="4053524" y="0"/>
                </a:lnTo>
                <a:lnTo>
                  <a:pt x="4201691" y="793750"/>
                </a:lnTo>
                <a:lnTo>
                  <a:pt x="3831274" y="1894417"/>
                </a:lnTo>
                <a:lnTo>
                  <a:pt x="2667107" y="2688167"/>
                </a:lnTo>
                <a:lnTo>
                  <a:pt x="1831024" y="2688167"/>
                </a:lnTo>
                <a:cubicBezTo>
                  <a:pt x="1775463" y="2599269"/>
                  <a:pt x="1801640" y="2627033"/>
                  <a:pt x="1767524" y="2592917"/>
                </a:cubicBezTo>
                <a:lnTo>
                  <a:pt x="613940" y="1968500"/>
                </a:lnTo>
                <a:lnTo>
                  <a:pt x="42440" y="984250"/>
                </a:lnTo>
                <a:cubicBezTo>
                  <a:pt x="70662" y="970139"/>
                  <a:pt x="3636" y="721431"/>
                  <a:pt x="108" y="624417"/>
                </a:cubicBezTo>
                <a:cubicBezTo>
                  <a:pt x="-3420" y="527403"/>
                  <a:pt x="81246" y="508000"/>
                  <a:pt x="21274" y="402167"/>
                </a:cubicBezTo>
                <a:lnTo>
                  <a:pt x="190607" y="31750"/>
                </a:lnTo>
                <a:lnTo>
                  <a:pt x="317607" y="0"/>
                </a:lnTo>
                <a:close/>
              </a:path>
            </a:pathLst>
          </a:custGeom>
          <a:solidFill>
            <a:srgbClr val="B46F14">
              <a:alpha val="42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" name="Oval 16"/>
          <xdr:cNvSpPr/>
        </xdr:nvSpPr>
        <xdr:spPr>
          <a:xfrm>
            <a:off x="16975665" y="793750"/>
            <a:ext cx="1234662" cy="1222375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" name="Oval 17"/>
          <xdr:cNvSpPr/>
        </xdr:nvSpPr>
        <xdr:spPr>
          <a:xfrm>
            <a:off x="17061183" y="878417"/>
            <a:ext cx="1063626" cy="1053041"/>
          </a:xfrm>
          <a:prstGeom prst="ellipse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19" name="Group 18"/>
          <xdr:cNvGrpSpPr/>
        </xdr:nvGrpSpPr>
        <xdr:grpSpPr>
          <a:xfrm>
            <a:off x="17362808" y="1174749"/>
            <a:ext cx="460376" cy="460376"/>
            <a:chOff x="17373392" y="1197238"/>
            <a:chExt cx="460376" cy="460376"/>
          </a:xfrm>
        </xdr:grpSpPr>
        <xdr:sp macro="" textlink="">
          <xdr:nvSpPr>
            <xdr:cNvPr id="20" name="Oval 19"/>
            <xdr:cNvSpPr/>
          </xdr:nvSpPr>
          <xdr:spPr>
            <a:xfrm>
              <a:off x="17373392" y="1197238"/>
              <a:ext cx="460376" cy="460376"/>
            </a:xfrm>
            <a:prstGeom prst="ellipse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1" name="Oval 20"/>
            <xdr:cNvSpPr/>
          </xdr:nvSpPr>
          <xdr:spPr>
            <a:xfrm>
              <a:off x="17455414" y="1279260"/>
              <a:ext cx="296333" cy="296333"/>
            </a:xfrm>
            <a:prstGeom prst="ellipse">
              <a:avLst/>
            </a:prstGeom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 editAs="oneCell">
    <xdr:from>
      <xdr:col>7</xdr:col>
      <xdr:colOff>47625</xdr:colOff>
      <xdr:row>1</xdr:row>
      <xdr:rowOff>180974</xdr:rowOff>
    </xdr:from>
    <xdr:to>
      <xdr:col>10</xdr:col>
      <xdr:colOff>504825</xdr:colOff>
      <xdr:row>3</xdr:row>
      <xdr:rowOff>28574</xdr:rowOff>
    </xdr:to>
    <xdr:pic>
      <xdr:nvPicPr>
        <xdr:cNvPr id="22" name="Picture 21" descr="Attached Image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713" b="23810"/>
        <a:stretch/>
      </xdr:blipFill>
      <xdr:spPr bwMode="auto">
        <a:xfrm>
          <a:off x="6657975" y="485774"/>
          <a:ext cx="33051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133351</xdr:colOff>
      <xdr:row>21</xdr:row>
      <xdr:rowOff>0</xdr:rowOff>
    </xdr:from>
    <xdr:to>
      <xdr:col>12</xdr:col>
      <xdr:colOff>47625</xdr:colOff>
      <xdr:row>23</xdr:row>
      <xdr:rowOff>6900</xdr:rowOff>
    </xdr:to>
    <xdr:sp macro="" textlink="">
      <xdr:nvSpPr>
        <xdr:cNvPr id="30" name="Freeform 29"/>
        <xdr:cNvSpPr/>
      </xdr:nvSpPr>
      <xdr:spPr>
        <a:xfrm>
          <a:off x="10306051" y="4495800"/>
          <a:ext cx="1133474" cy="397425"/>
        </a:xfrm>
        <a:custGeom>
          <a:avLst/>
          <a:gdLst>
            <a:gd name="connsiteX0" fmla="*/ 0 w 1000125"/>
            <a:gd name="connsiteY0" fmla="*/ 444 h 502644"/>
            <a:gd name="connsiteX1" fmla="*/ 180975 w 1000125"/>
            <a:gd name="connsiteY1" fmla="*/ 19494 h 502644"/>
            <a:gd name="connsiteX2" fmla="*/ 466725 w 1000125"/>
            <a:gd name="connsiteY2" fmla="*/ 38544 h 502644"/>
            <a:gd name="connsiteX3" fmla="*/ 600075 w 1000125"/>
            <a:gd name="connsiteY3" fmla="*/ 486219 h 502644"/>
            <a:gd name="connsiteX4" fmla="*/ 1000125 w 1000125"/>
            <a:gd name="connsiteY4" fmla="*/ 362394 h 50264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000125" h="502644">
              <a:moveTo>
                <a:pt x="0" y="444"/>
              </a:moveTo>
              <a:cubicBezTo>
                <a:pt x="50800" y="6000"/>
                <a:pt x="103188" y="13144"/>
                <a:pt x="180975" y="19494"/>
              </a:cubicBezTo>
              <a:cubicBezTo>
                <a:pt x="258762" y="25844"/>
                <a:pt x="396875" y="-39243"/>
                <a:pt x="466725" y="38544"/>
              </a:cubicBezTo>
              <a:cubicBezTo>
                <a:pt x="536575" y="116331"/>
                <a:pt x="511175" y="432244"/>
                <a:pt x="600075" y="486219"/>
              </a:cubicBezTo>
              <a:cubicBezTo>
                <a:pt x="688975" y="540194"/>
                <a:pt x="844550" y="451294"/>
                <a:pt x="1000125" y="362394"/>
              </a:cubicBezTo>
            </a:path>
          </a:pathLst>
        </a:custGeom>
        <a:noFill/>
        <a:ln>
          <a:prstDash val="sysDot"/>
          <a:tailEnd type="stealth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533400</xdr:colOff>
      <xdr:row>19</xdr:row>
      <xdr:rowOff>109418</xdr:rowOff>
    </xdr:from>
    <xdr:to>
      <xdr:col>12</xdr:col>
      <xdr:colOff>114300</xdr:colOff>
      <xdr:row>19</xdr:row>
      <xdr:rowOff>327664</xdr:rowOff>
    </xdr:to>
    <xdr:sp macro="" textlink="">
      <xdr:nvSpPr>
        <xdr:cNvPr id="31" name="Freeform 30"/>
        <xdr:cNvSpPr/>
      </xdr:nvSpPr>
      <xdr:spPr>
        <a:xfrm>
          <a:off x="10706100" y="4062293"/>
          <a:ext cx="800100" cy="218246"/>
        </a:xfrm>
        <a:custGeom>
          <a:avLst/>
          <a:gdLst>
            <a:gd name="connsiteX0" fmla="*/ 0 w 800100"/>
            <a:gd name="connsiteY0" fmla="*/ 52507 h 161096"/>
            <a:gd name="connsiteX1" fmla="*/ 428625 w 800100"/>
            <a:gd name="connsiteY1" fmla="*/ 4882 h 161096"/>
            <a:gd name="connsiteX2" fmla="*/ 552450 w 800100"/>
            <a:gd name="connsiteY2" fmla="*/ 157282 h 161096"/>
            <a:gd name="connsiteX3" fmla="*/ 800100 w 800100"/>
            <a:gd name="connsiteY3" fmla="*/ 100132 h 16109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800100" h="161096">
              <a:moveTo>
                <a:pt x="0" y="52507"/>
              </a:moveTo>
              <a:cubicBezTo>
                <a:pt x="168275" y="19963"/>
                <a:pt x="336550" y="-12580"/>
                <a:pt x="428625" y="4882"/>
              </a:cubicBezTo>
              <a:cubicBezTo>
                <a:pt x="520700" y="22344"/>
                <a:pt x="490538" y="141407"/>
                <a:pt x="552450" y="157282"/>
              </a:cubicBezTo>
              <a:cubicBezTo>
                <a:pt x="614363" y="173157"/>
                <a:pt x="707231" y="136644"/>
                <a:pt x="800100" y="100132"/>
              </a:cubicBezTo>
            </a:path>
          </a:pathLst>
        </a:custGeom>
        <a:noFill/>
        <a:ln>
          <a:prstDash val="sysDot"/>
          <a:tailEnd type="stealth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0</xdr:colOff>
      <xdr:row>15</xdr:row>
      <xdr:rowOff>151363</xdr:rowOff>
    </xdr:from>
    <xdr:to>
      <xdr:col>12</xdr:col>
      <xdr:colOff>95250</xdr:colOff>
      <xdr:row>17</xdr:row>
      <xdr:rowOff>112194</xdr:rowOff>
    </xdr:to>
    <xdr:sp macro="" textlink="">
      <xdr:nvSpPr>
        <xdr:cNvPr id="32" name="Freeform 31"/>
        <xdr:cNvSpPr/>
      </xdr:nvSpPr>
      <xdr:spPr>
        <a:xfrm>
          <a:off x="10172700" y="3323188"/>
          <a:ext cx="1314450" cy="360881"/>
        </a:xfrm>
        <a:custGeom>
          <a:avLst/>
          <a:gdLst>
            <a:gd name="connsiteX0" fmla="*/ 0 w 1228725"/>
            <a:gd name="connsiteY0" fmla="*/ 258212 h 360881"/>
            <a:gd name="connsiteX1" fmla="*/ 438150 w 1228725"/>
            <a:gd name="connsiteY1" fmla="*/ 1037 h 360881"/>
            <a:gd name="connsiteX2" fmla="*/ 809625 w 1228725"/>
            <a:gd name="connsiteY2" fmla="*/ 343937 h 360881"/>
            <a:gd name="connsiteX3" fmla="*/ 1228725 w 1228725"/>
            <a:gd name="connsiteY3" fmla="*/ 277262 h 3608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228725" h="360881">
              <a:moveTo>
                <a:pt x="0" y="258212"/>
              </a:moveTo>
              <a:cubicBezTo>
                <a:pt x="151606" y="122481"/>
                <a:pt x="303213" y="-13250"/>
                <a:pt x="438150" y="1037"/>
              </a:cubicBezTo>
              <a:cubicBezTo>
                <a:pt x="573087" y="15324"/>
                <a:pt x="677863" y="297900"/>
                <a:pt x="809625" y="343937"/>
              </a:cubicBezTo>
              <a:cubicBezTo>
                <a:pt x="941388" y="389975"/>
                <a:pt x="1085056" y="333618"/>
                <a:pt x="1228725" y="277262"/>
              </a:cubicBezTo>
            </a:path>
          </a:pathLst>
        </a:custGeom>
        <a:noFill/>
        <a:ln>
          <a:prstDash val="sysDot"/>
          <a:tailEnd type="stealth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66675</xdr:colOff>
      <xdr:row>21</xdr:row>
      <xdr:rowOff>133351</xdr:rowOff>
    </xdr:from>
    <xdr:to>
      <xdr:col>12</xdr:col>
      <xdr:colOff>523875</xdr:colOff>
      <xdr:row>23</xdr:row>
      <xdr:rowOff>19051</xdr:rowOff>
    </xdr:to>
    <xdr:sp macro="" textlink="">
      <xdr:nvSpPr>
        <xdr:cNvPr id="33" name="TextBox 32"/>
        <xdr:cNvSpPr txBox="1"/>
      </xdr:nvSpPr>
      <xdr:spPr>
        <a:xfrm>
          <a:off x="11458575" y="4629151"/>
          <a:ext cx="4572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Pipe</a:t>
          </a:r>
        </a:p>
      </xdr:txBody>
    </xdr:sp>
    <xdr:clientData/>
  </xdr:twoCellAnchor>
  <xdr:twoCellAnchor>
    <xdr:from>
      <xdr:col>12</xdr:col>
      <xdr:colOff>142874</xdr:colOff>
      <xdr:row>19</xdr:row>
      <xdr:rowOff>76201</xdr:rowOff>
    </xdr:from>
    <xdr:to>
      <xdr:col>13</xdr:col>
      <xdr:colOff>361949</xdr:colOff>
      <xdr:row>20</xdr:row>
      <xdr:rowOff>66676</xdr:rowOff>
    </xdr:to>
    <xdr:sp macro="" textlink="">
      <xdr:nvSpPr>
        <xdr:cNvPr id="34" name="TextBox 33"/>
        <xdr:cNvSpPr txBox="1"/>
      </xdr:nvSpPr>
      <xdr:spPr>
        <a:xfrm>
          <a:off x="11534774" y="4029076"/>
          <a:ext cx="8286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Insulation</a:t>
          </a:r>
        </a:p>
      </xdr:txBody>
    </xdr:sp>
    <xdr:clientData/>
  </xdr:twoCellAnchor>
  <xdr:twoCellAnchor>
    <xdr:from>
      <xdr:col>12</xdr:col>
      <xdr:colOff>95249</xdr:colOff>
      <xdr:row>16</xdr:row>
      <xdr:rowOff>57151</xdr:rowOff>
    </xdr:from>
    <xdr:to>
      <xdr:col>13</xdr:col>
      <xdr:colOff>314324</xdr:colOff>
      <xdr:row>17</xdr:row>
      <xdr:rowOff>142876</xdr:rowOff>
    </xdr:to>
    <xdr:sp macro="" textlink="">
      <xdr:nvSpPr>
        <xdr:cNvPr id="35" name="TextBox 34"/>
        <xdr:cNvSpPr txBox="1"/>
      </xdr:nvSpPr>
      <xdr:spPr>
        <a:xfrm>
          <a:off x="11487149" y="3429001"/>
          <a:ext cx="82867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Casing</a:t>
          </a:r>
        </a:p>
      </xdr:txBody>
    </xdr:sp>
    <xdr:clientData/>
  </xdr:twoCellAnchor>
  <xdr:twoCellAnchor>
    <xdr:from>
      <xdr:col>8</xdr:col>
      <xdr:colOff>361950</xdr:colOff>
      <xdr:row>19</xdr:row>
      <xdr:rowOff>314325</xdr:rowOff>
    </xdr:from>
    <xdr:to>
      <xdr:col>9</xdr:col>
      <xdr:colOff>575982</xdr:colOff>
      <xdr:row>19</xdr:row>
      <xdr:rowOff>316371</xdr:rowOff>
    </xdr:to>
    <xdr:cxnSp macro="">
      <xdr:nvCxnSpPr>
        <xdr:cNvPr id="37" name="Straight Connector 36"/>
        <xdr:cNvCxnSpPr/>
      </xdr:nvCxnSpPr>
      <xdr:spPr>
        <a:xfrm flipH="1" flipV="1">
          <a:off x="8763000" y="4267200"/>
          <a:ext cx="1376082" cy="204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685800</xdr:colOff>
      <xdr:row>14</xdr:row>
      <xdr:rowOff>0</xdr:rowOff>
    </xdr:from>
    <xdr:to>
      <xdr:col>8</xdr:col>
      <xdr:colOff>685800</xdr:colOff>
      <xdr:row>19</xdr:row>
      <xdr:rowOff>314325</xdr:rowOff>
    </xdr:to>
    <xdr:cxnSp macro="">
      <xdr:nvCxnSpPr>
        <xdr:cNvPr id="41" name="Straight Arrow Connector 40"/>
        <xdr:cNvCxnSpPr/>
      </xdr:nvCxnSpPr>
      <xdr:spPr>
        <a:xfrm flipV="1">
          <a:off x="9086850" y="2981325"/>
          <a:ext cx="0" cy="12858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171449</xdr:colOff>
      <xdr:row>16</xdr:row>
      <xdr:rowOff>104776</xdr:rowOff>
    </xdr:from>
    <xdr:to>
      <xdr:col>8</xdr:col>
      <xdr:colOff>1000124</xdr:colOff>
      <xdr:row>18</xdr:row>
      <xdr:rowOff>1</xdr:rowOff>
    </xdr:to>
    <xdr:sp macro="" textlink="">
      <xdr:nvSpPr>
        <xdr:cNvPr id="42" name="TextBox 41"/>
        <xdr:cNvSpPr txBox="1"/>
      </xdr:nvSpPr>
      <xdr:spPr>
        <a:xfrm>
          <a:off x="8572499" y="3476626"/>
          <a:ext cx="82867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Depth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00902-Trikroner-Branched%20Network_v15-with%20H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Heat Loss Coefficient"/>
      <sheetName val="Pipe Catalog"/>
      <sheetName val="Simultaneity Factor"/>
      <sheetName val="DH Network"/>
      <sheetName val="Pipe List of Network"/>
      <sheetName val="Sizing Pipes"/>
      <sheetName val="Press Grad - CriticalRoute"/>
      <sheetName val="Press Grad - MultiRoute"/>
      <sheetName val="Solver"/>
      <sheetName val="Optimization - 1"/>
      <sheetName val="Pump"/>
      <sheetName val="Article"/>
      <sheetName val="Pressure Comparison"/>
      <sheetName val="z XSteam"/>
    </sheetNames>
    <sheetDataSet>
      <sheetData sheetId="0"/>
      <sheetData sheetId="1"/>
      <sheetData sheetId="2">
        <row r="2">
          <cell r="U2">
            <v>0.01</v>
          </cell>
        </row>
        <row r="3">
          <cell r="U3">
            <v>0.1</v>
          </cell>
        </row>
      </sheetData>
      <sheetData sheetId="3"/>
      <sheetData sheetId="4">
        <row r="4">
          <cell r="G4">
            <v>9</v>
          </cell>
        </row>
        <row r="5">
          <cell r="G5">
            <v>32</v>
          </cell>
        </row>
        <row r="7">
          <cell r="B7">
            <v>70</v>
          </cell>
        </row>
        <row r="8">
          <cell r="B8">
            <v>50</v>
          </cell>
        </row>
        <row r="9">
          <cell r="B9">
            <v>60</v>
          </cell>
        </row>
        <row r="13">
          <cell r="B13">
            <v>8</v>
          </cell>
        </row>
        <row r="18">
          <cell r="B18">
            <v>4</v>
          </cell>
        </row>
        <row r="19">
          <cell r="G19">
            <v>4.6640274859215526E-4</v>
          </cell>
        </row>
      </sheetData>
      <sheetData sheetId="5"/>
      <sheetData sheetId="6">
        <row r="2">
          <cell r="D2" t="str">
            <v>Length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eb2.clarkson.edu/projects/subramanian/ch330/notes/Heat%20Transfer%20in%20Flow%20Through%20Conduits.pdf" TargetMode="External"/><Relationship Id="rId2" Type="http://schemas.openxmlformats.org/officeDocument/2006/relationships/hyperlink" Target="https://www.cheresources.com/invision/blog/4/entry-493-heat-transfer-in-buried-liquid-pipelines/" TargetMode="External"/><Relationship Id="rId1" Type="http://schemas.openxmlformats.org/officeDocument/2006/relationships/hyperlink" Target="https://www.osti.gov/servlets/purl/629429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cheresources.com/invision/topic/26552-heat-loss-through-buried-insulated-pipe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logstor.com/media/6115/product-catalogue-uk-2018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L101"/>
  <sheetViews>
    <sheetView topLeftCell="A64" workbookViewId="0">
      <selection activeCell="L97" sqref="L97"/>
    </sheetView>
  </sheetViews>
  <sheetFormatPr defaultRowHeight="15" x14ac:dyDescent="0.25"/>
  <cols>
    <col min="3" max="4" width="10.7109375" customWidth="1"/>
    <col min="5" max="5" width="10.5703125" customWidth="1"/>
    <col min="6" max="6" width="12.28515625" customWidth="1"/>
    <col min="7" max="7" width="12" customWidth="1"/>
    <col min="8" max="8" width="10.42578125" customWidth="1"/>
    <col min="11" max="11" width="12" bestFit="1" customWidth="1"/>
  </cols>
  <sheetData>
    <row r="2" spans="2:9" x14ac:dyDescent="0.25">
      <c r="B2" s="5" t="s">
        <v>1</v>
      </c>
      <c r="C2" s="5"/>
      <c r="D2" s="5"/>
      <c r="E2" s="5"/>
      <c r="F2" s="5"/>
      <c r="G2" s="5"/>
      <c r="H2" s="5"/>
      <c r="I2" s="5"/>
    </row>
    <row r="3" spans="2:9" ht="15.75" thickBot="1" x14ac:dyDescent="0.3"/>
    <row r="4" spans="2:9" x14ac:dyDescent="0.25">
      <c r="B4" s="10" t="s">
        <v>2</v>
      </c>
      <c r="C4" s="11" t="s">
        <v>4</v>
      </c>
      <c r="D4" s="11" t="s">
        <v>6</v>
      </c>
      <c r="E4" s="11" t="s">
        <v>8</v>
      </c>
      <c r="F4" s="11" t="s">
        <v>10</v>
      </c>
      <c r="G4" s="11" t="s">
        <v>12</v>
      </c>
      <c r="H4" s="11" t="s">
        <v>14</v>
      </c>
      <c r="I4" s="12"/>
    </row>
    <row r="5" spans="2:9" x14ac:dyDescent="0.25">
      <c r="B5" s="6"/>
      <c r="C5" s="7"/>
      <c r="D5" s="7"/>
      <c r="E5" s="7"/>
      <c r="F5" s="7"/>
      <c r="G5" s="7"/>
      <c r="H5" s="7"/>
      <c r="I5" s="8"/>
    </row>
    <row r="6" spans="2:9" x14ac:dyDescent="0.25">
      <c r="B6" s="6" t="s">
        <v>3</v>
      </c>
      <c r="C6" s="7" t="s">
        <v>5</v>
      </c>
      <c r="D6" s="7" t="s">
        <v>7</v>
      </c>
      <c r="E6" s="7" t="s">
        <v>9</v>
      </c>
      <c r="F6" s="7" t="s">
        <v>11</v>
      </c>
      <c r="G6" s="7" t="s">
        <v>13</v>
      </c>
      <c r="H6" s="7"/>
      <c r="I6" s="8"/>
    </row>
    <row r="7" spans="2:9" x14ac:dyDescent="0.25">
      <c r="B7" s="6">
        <v>-150</v>
      </c>
      <c r="C7" s="7">
        <v>2.7930000000000001</v>
      </c>
      <c r="D7" s="7">
        <v>1.026</v>
      </c>
      <c r="E7" s="7">
        <v>1.1599999999999999E-2</v>
      </c>
      <c r="F7" s="7">
        <v>3.08</v>
      </c>
      <c r="G7" s="7">
        <v>8.2100000000000009</v>
      </c>
      <c r="H7" s="7">
        <v>0.76</v>
      </c>
      <c r="I7" s="8"/>
    </row>
    <row r="8" spans="2:9" x14ac:dyDescent="0.25">
      <c r="B8" s="6">
        <v>-100</v>
      </c>
      <c r="C8" s="7">
        <v>1.98</v>
      </c>
      <c r="D8" s="7">
        <v>1.0089999999999999</v>
      </c>
      <c r="E8" s="7">
        <v>1.6E-2</v>
      </c>
      <c r="F8" s="7">
        <v>5.95</v>
      </c>
      <c r="G8" s="7">
        <v>5.82</v>
      </c>
      <c r="H8" s="7">
        <v>0.74</v>
      </c>
      <c r="I8" s="8"/>
    </row>
    <row r="9" spans="2:9" x14ac:dyDescent="0.25">
      <c r="B9" s="6">
        <v>-50</v>
      </c>
      <c r="C9" s="7">
        <v>1.534</v>
      </c>
      <c r="D9" s="7">
        <v>1.0049999999999999</v>
      </c>
      <c r="E9" s="7">
        <v>2.0400000000000001E-2</v>
      </c>
      <c r="F9" s="7">
        <v>9.5500000000000007</v>
      </c>
      <c r="G9" s="7">
        <v>4.51</v>
      </c>
      <c r="H9" s="7">
        <v>0.72499999999999998</v>
      </c>
      <c r="I9" s="8"/>
    </row>
    <row r="10" spans="2:9" x14ac:dyDescent="0.25">
      <c r="B10" s="6">
        <v>0</v>
      </c>
      <c r="C10" s="7">
        <v>1.2929999999999999</v>
      </c>
      <c r="D10" s="7">
        <v>1.0049999999999999</v>
      </c>
      <c r="E10" s="7">
        <v>2.4299999999999999E-2</v>
      </c>
      <c r="F10" s="7">
        <v>13.3</v>
      </c>
      <c r="G10" s="7">
        <v>3.67</v>
      </c>
      <c r="H10" s="7">
        <v>0.71499999999999997</v>
      </c>
      <c r="I10" s="8"/>
    </row>
    <row r="11" spans="2:9" x14ac:dyDescent="0.25">
      <c r="B11" s="6">
        <v>20</v>
      </c>
      <c r="C11" s="7">
        <v>1.2050000000000001</v>
      </c>
      <c r="D11" s="7">
        <v>1.0049999999999999</v>
      </c>
      <c r="E11" s="7">
        <v>2.5700000000000001E-2</v>
      </c>
      <c r="F11" s="7">
        <v>15.11</v>
      </c>
      <c r="G11" s="7">
        <v>3.43</v>
      </c>
      <c r="H11" s="7">
        <v>0.71299999999999997</v>
      </c>
      <c r="I11" s="8"/>
    </row>
    <row r="12" spans="2:9" x14ac:dyDescent="0.25">
      <c r="B12" s="6">
        <v>40</v>
      </c>
      <c r="C12" s="7">
        <v>1.127</v>
      </c>
      <c r="D12" s="7">
        <v>1.0049999999999999</v>
      </c>
      <c r="E12" s="7">
        <v>2.7099999999999999E-2</v>
      </c>
      <c r="F12" s="7">
        <v>16.97</v>
      </c>
      <c r="G12" s="7">
        <v>3.2</v>
      </c>
      <c r="H12" s="7">
        <v>0.71099999999999997</v>
      </c>
      <c r="I12" s="8"/>
    </row>
    <row r="13" spans="2:9" x14ac:dyDescent="0.25">
      <c r="B13" s="6">
        <v>60</v>
      </c>
      <c r="C13" s="7">
        <v>1.0669999999999999</v>
      </c>
      <c r="D13" s="7">
        <v>1.0089999999999999</v>
      </c>
      <c r="E13" s="7">
        <v>2.8500000000000001E-2</v>
      </c>
      <c r="F13" s="7">
        <v>18.899999999999999</v>
      </c>
      <c r="G13" s="7">
        <v>3</v>
      </c>
      <c r="H13" s="7">
        <v>0.70899999999999996</v>
      </c>
      <c r="I13" s="8"/>
    </row>
    <row r="14" spans="2:9" x14ac:dyDescent="0.25">
      <c r="B14" s="6">
        <v>80</v>
      </c>
      <c r="C14" s="7">
        <v>1</v>
      </c>
      <c r="D14" s="7">
        <v>1.0089999999999999</v>
      </c>
      <c r="E14" s="7">
        <v>2.9899999999999999E-2</v>
      </c>
      <c r="F14" s="7">
        <v>20.94</v>
      </c>
      <c r="G14" s="7">
        <v>2.83</v>
      </c>
      <c r="H14" s="7">
        <v>0.70799999999999996</v>
      </c>
      <c r="I14" s="8"/>
    </row>
    <row r="15" spans="2:9" x14ac:dyDescent="0.25">
      <c r="B15" s="6">
        <v>100</v>
      </c>
      <c r="C15" s="7">
        <v>0.94599999999999995</v>
      </c>
      <c r="D15" s="7">
        <v>1.0089999999999999</v>
      </c>
      <c r="E15" s="7">
        <v>3.1399999999999997E-2</v>
      </c>
      <c r="F15" s="7">
        <v>23.06</v>
      </c>
      <c r="G15" s="7">
        <v>2.68</v>
      </c>
      <c r="H15" s="7">
        <v>0.70299999999999996</v>
      </c>
      <c r="I15" s="8"/>
    </row>
    <row r="16" spans="2:9" x14ac:dyDescent="0.25">
      <c r="B16" s="6">
        <v>120</v>
      </c>
      <c r="C16" s="7">
        <v>0.89800000000000002</v>
      </c>
      <c r="D16" s="7">
        <v>1.0129999999999999</v>
      </c>
      <c r="E16" s="7">
        <v>3.2800000000000003E-2</v>
      </c>
      <c r="F16" s="7">
        <v>25.23</v>
      </c>
      <c r="G16" s="7">
        <v>2.5499999999999998</v>
      </c>
      <c r="H16" s="7">
        <v>0.7</v>
      </c>
      <c r="I16" s="8"/>
    </row>
    <row r="17" spans="2:9" x14ac:dyDescent="0.25">
      <c r="B17" s="6">
        <v>140</v>
      </c>
      <c r="C17" s="7">
        <v>0.85399999999999998</v>
      </c>
      <c r="D17" s="7">
        <v>1.0129999999999999</v>
      </c>
      <c r="E17" s="7">
        <v>3.4299999999999997E-2</v>
      </c>
      <c r="F17" s="7">
        <v>27.55</v>
      </c>
      <c r="G17" s="7">
        <v>2.4300000000000002</v>
      </c>
      <c r="H17" s="7">
        <v>0.69499999999999995</v>
      </c>
      <c r="I17" s="8"/>
    </row>
    <row r="18" spans="2:9" x14ac:dyDescent="0.25">
      <c r="B18" s="6">
        <v>160</v>
      </c>
      <c r="C18" s="7">
        <v>0.81499999999999995</v>
      </c>
      <c r="D18" s="7">
        <v>1.0169999999999999</v>
      </c>
      <c r="E18" s="7">
        <v>3.5799999999999998E-2</v>
      </c>
      <c r="F18" s="7">
        <v>29.85</v>
      </c>
      <c r="G18" s="7">
        <v>2.3199999999999998</v>
      </c>
      <c r="H18" s="7">
        <v>0.69</v>
      </c>
      <c r="I18" s="8"/>
    </row>
    <row r="19" spans="2:9" x14ac:dyDescent="0.25">
      <c r="B19" s="6">
        <v>180</v>
      </c>
      <c r="C19" s="7">
        <v>0.77900000000000003</v>
      </c>
      <c r="D19" s="7">
        <v>1.022</v>
      </c>
      <c r="E19" s="7">
        <v>3.7199999999999997E-2</v>
      </c>
      <c r="F19" s="7">
        <v>32.29</v>
      </c>
      <c r="G19" s="7">
        <v>2.21</v>
      </c>
      <c r="H19" s="7">
        <v>0.69</v>
      </c>
      <c r="I19" s="8"/>
    </row>
    <row r="20" spans="2:9" x14ac:dyDescent="0.25">
      <c r="B20" s="6">
        <v>200</v>
      </c>
      <c r="C20" s="7">
        <v>0.746</v>
      </c>
      <c r="D20" s="7">
        <v>1.026</v>
      </c>
      <c r="E20" s="7">
        <v>3.8600000000000002E-2</v>
      </c>
      <c r="F20" s="7">
        <v>34.630000000000003</v>
      </c>
      <c r="G20" s="7">
        <v>2.11</v>
      </c>
      <c r="H20" s="7">
        <v>0.68500000000000005</v>
      </c>
      <c r="I20" s="8"/>
    </row>
    <row r="21" spans="2:9" x14ac:dyDescent="0.25">
      <c r="B21" s="6">
        <v>250</v>
      </c>
      <c r="C21" s="7">
        <v>0.67500000000000004</v>
      </c>
      <c r="D21" s="7">
        <v>1.034</v>
      </c>
      <c r="E21" s="7">
        <v>4.2099999999999999E-2</v>
      </c>
      <c r="F21" s="7">
        <v>41.17</v>
      </c>
      <c r="G21" s="7">
        <v>1.91</v>
      </c>
      <c r="H21" s="7">
        <v>0.68</v>
      </c>
      <c r="I21" s="8"/>
    </row>
    <row r="22" spans="2:9" x14ac:dyDescent="0.25">
      <c r="B22" s="6">
        <v>300</v>
      </c>
      <c r="C22" s="7">
        <v>0.61599999999999999</v>
      </c>
      <c r="D22" s="7">
        <v>1.0469999999999999</v>
      </c>
      <c r="E22" s="7">
        <v>4.5400000000000003E-2</v>
      </c>
      <c r="F22" s="7">
        <v>47.85</v>
      </c>
      <c r="G22" s="7">
        <v>1.75</v>
      </c>
      <c r="H22" s="7">
        <v>0.68</v>
      </c>
      <c r="I22" s="8"/>
    </row>
    <row r="23" spans="2:9" x14ac:dyDescent="0.25">
      <c r="B23" s="6">
        <v>350</v>
      </c>
      <c r="C23" s="7">
        <v>0.56599999999999995</v>
      </c>
      <c r="D23" s="7">
        <v>1.0549999999999999</v>
      </c>
      <c r="E23" s="7">
        <v>4.8500000000000001E-2</v>
      </c>
      <c r="F23" s="7">
        <v>55.05</v>
      </c>
      <c r="G23" s="7">
        <v>1.61</v>
      </c>
      <c r="H23" s="7">
        <v>0.68</v>
      </c>
      <c r="I23" s="8"/>
    </row>
    <row r="24" spans="2:9" x14ac:dyDescent="0.25">
      <c r="B24" s="6">
        <v>400</v>
      </c>
      <c r="C24" s="7">
        <v>0.52400000000000002</v>
      </c>
      <c r="D24" s="7">
        <v>1.0680000000000001</v>
      </c>
      <c r="E24" s="7">
        <v>5.1499999999999997E-2</v>
      </c>
      <c r="F24" s="7">
        <v>62.53</v>
      </c>
      <c r="G24" s="7">
        <v>1.49</v>
      </c>
      <c r="H24" s="7">
        <v>0.68</v>
      </c>
      <c r="I24" s="8"/>
    </row>
    <row r="25" spans="2:9" ht="15.75" thickBot="1" x14ac:dyDescent="0.3">
      <c r="B25" s="3"/>
      <c r="C25" s="4"/>
      <c r="D25" s="4"/>
      <c r="E25" s="4"/>
      <c r="F25" s="4"/>
      <c r="G25" s="4"/>
      <c r="H25" s="4"/>
      <c r="I25" s="9"/>
    </row>
    <row r="29" spans="2:9" x14ac:dyDescent="0.25">
      <c r="D29" t="s">
        <v>18</v>
      </c>
    </row>
    <row r="33" spans="4:12" x14ac:dyDescent="0.25">
      <c r="K33" t="s">
        <v>19</v>
      </c>
      <c r="L33" s="1" t="s">
        <v>21</v>
      </c>
    </row>
    <row r="34" spans="4:12" x14ac:dyDescent="0.25">
      <c r="K34">
        <v>-15</v>
      </c>
      <c r="L34">
        <f>-3*0.00000001*K34^3+2*0.00001*K34^2-0.0056*K34+1.2996</f>
        <v>1.3882012500000001</v>
      </c>
    </row>
    <row r="46" spans="4:12" x14ac:dyDescent="0.25">
      <c r="D46" t="s">
        <v>20</v>
      </c>
    </row>
    <row r="50" spans="11:12" x14ac:dyDescent="0.25">
      <c r="K50" t="s">
        <v>19</v>
      </c>
      <c r="L50" s="1" t="s">
        <v>23</v>
      </c>
    </row>
    <row r="51" spans="11:12" x14ac:dyDescent="0.25">
      <c r="K51">
        <v>-15</v>
      </c>
      <c r="L51">
        <f>-7*0.0000000001*K51^3+7*0.0000001*K51^2-7*0.000001*K51+1.0042</f>
        <v>1.0044648624999999</v>
      </c>
    </row>
    <row r="65" spans="4:12" x14ac:dyDescent="0.25">
      <c r="D65" t="s">
        <v>22</v>
      </c>
    </row>
    <row r="69" spans="4:12" x14ac:dyDescent="0.25">
      <c r="K69" t="s">
        <v>19</v>
      </c>
      <c r="L69" s="1" t="s">
        <v>26</v>
      </c>
    </row>
    <row r="70" spans="4:12" x14ac:dyDescent="0.25">
      <c r="K70">
        <v>-15</v>
      </c>
      <c r="L70">
        <f>7*0.00001*K70+0.0239</f>
        <v>2.2850000000000002E-2</v>
      </c>
    </row>
    <row r="84" spans="4:12" x14ac:dyDescent="0.25">
      <c r="D84" t="s">
        <v>24</v>
      </c>
    </row>
    <row r="87" spans="4:12" x14ac:dyDescent="0.25">
      <c r="K87" t="s">
        <v>19</v>
      </c>
      <c r="L87" s="1" t="s">
        <v>25</v>
      </c>
    </row>
    <row r="88" spans="4:12" x14ac:dyDescent="0.25">
      <c r="K88">
        <v>-15</v>
      </c>
      <c r="L88">
        <f>9*0.00001*K88^2+0.0859*K88+13.583</f>
        <v>12.31475</v>
      </c>
    </row>
    <row r="101" spans="11:12" x14ac:dyDescent="0.25">
      <c r="K101" t="s">
        <v>16</v>
      </c>
      <c r="L101">
        <f>L51*1000*L88*0.000001*L34/L70</f>
        <v>0.75149583092232541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98"/>
  <sheetViews>
    <sheetView workbookViewId="0">
      <selection activeCell="H15" sqref="H15"/>
    </sheetView>
  </sheetViews>
  <sheetFormatPr defaultRowHeight="15" x14ac:dyDescent="0.25"/>
  <cols>
    <col min="1" max="5" width="9.140625" style="2"/>
    <col min="6" max="6" width="9.5703125" style="2" bestFit="1" customWidth="1"/>
    <col min="7" max="7" width="10.85546875" style="2" customWidth="1"/>
    <col min="8" max="8" width="9.140625" style="2"/>
    <col min="9" max="9" width="12" style="2" bestFit="1" customWidth="1"/>
    <col min="10" max="13" width="9.140625" style="2"/>
    <col min="14" max="14" width="11.140625" style="2" customWidth="1"/>
    <col min="15" max="15" width="11.42578125" style="2" customWidth="1"/>
    <col min="16" max="16" width="10.7109375" style="2" customWidth="1"/>
    <col min="17" max="17" width="11.28515625" style="2" customWidth="1"/>
    <col min="18" max="18" width="13.28515625" style="2" customWidth="1"/>
    <col min="19" max="20" width="10.85546875" style="2" customWidth="1"/>
    <col min="21" max="16384" width="9.140625" style="2"/>
  </cols>
  <sheetData>
    <row r="1" spans="1:26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18.75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48"/>
      <c r="O3" s="49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23"/>
      <c r="O5" s="23"/>
      <c r="P5" s="23"/>
      <c r="Q5" s="23"/>
      <c r="R5" s="23"/>
      <c r="S5" s="23"/>
      <c r="T5" s="23"/>
      <c r="U5" s="23"/>
      <c r="V5" s="13"/>
      <c r="W5" s="13"/>
      <c r="X5" s="13"/>
      <c r="Y5" s="13"/>
      <c r="Z5" s="13"/>
    </row>
    <row r="6" spans="1:26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23"/>
      <c r="O6" s="23"/>
      <c r="P6" s="23"/>
      <c r="Q6" s="23"/>
      <c r="R6" s="23"/>
      <c r="S6" s="23"/>
      <c r="T6" s="23"/>
      <c r="U6" s="23"/>
      <c r="V6" s="13"/>
      <c r="W6" s="13"/>
      <c r="X6" s="13"/>
      <c r="Y6" s="13"/>
      <c r="Z6" s="13"/>
    </row>
    <row r="7" spans="1:26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23"/>
      <c r="O7" s="23"/>
      <c r="P7" s="23"/>
      <c r="Q7" s="23"/>
      <c r="R7" s="23"/>
      <c r="S7" s="23"/>
      <c r="T7" s="23"/>
      <c r="U7" s="23"/>
      <c r="V7" s="13"/>
      <c r="W7" s="13"/>
      <c r="X7" s="13"/>
      <c r="Y7" s="13"/>
      <c r="Z7" s="13"/>
    </row>
    <row r="8" spans="1:26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23"/>
      <c r="O8" s="23"/>
      <c r="P8" s="23"/>
      <c r="Q8" s="23"/>
      <c r="R8" s="23"/>
      <c r="S8" s="23"/>
      <c r="T8" s="23"/>
      <c r="U8" s="23"/>
      <c r="V8" s="13"/>
      <c r="W8" s="13"/>
      <c r="X8" s="13"/>
      <c r="Y8" s="13"/>
      <c r="Z8" s="13"/>
    </row>
    <row r="9" spans="1:26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23"/>
      <c r="O9" s="23"/>
      <c r="P9" s="23"/>
      <c r="Q9" s="23"/>
      <c r="R9" s="23"/>
      <c r="S9" s="23"/>
      <c r="T9" s="23"/>
      <c r="U9" s="23"/>
      <c r="V9" s="13"/>
      <c r="W9" s="13"/>
      <c r="X9" s="13"/>
      <c r="Y9" s="13"/>
      <c r="Z9" s="13"/>
    </row>
    <row r="10" spans="1:26" x14ac:dyDescent="0.25">
      <c r="A10" s="13"/>
      <c r="B10" s="13"/>
      <c r="C10" s="13"/>
      <c r="D10" s="23"/>
      <c r="E10" s="13"/>
      <c r="F10" s="13"/>
      <c r="G10" s="13"/>
      <c r="H10" s="13"/>
      <c r="I10" s="13"/>
      <c r="J10" s="23"/>
      <c r="K10" s="13"/>
      <c r="L10" s="13"/>
      <c r="M10" s="13"/>
      <c r="N10" s="23"/>
      <c r="O10" s="23"/>
      <c r="P10" s="23"/>
      <c r="Q10" s="23"/>
      <c r="R10" s="23"/>
      <c r="S10" s="23"/>
      <c r="T10" s="23"/>
      <c r="U10" s="23"/>
      <c r="V10" s="13"/>
      <c r="W10" s="13"/>
      <c r="X10" s="13"/>
      <c r="Y10" s="13"/>
      <c r="Z10" s="13"/>
    </row>
    <row r="11" spans="1:26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23"/>
      <c r="O11" s="23"/>
      <c r="P11" s="23"/>
      <c r="Q11" s="23"/>
      <c r="R11" s="23"/>
      <c r="S11" s="23"/>
      <c r="T11" s="13"/>
      <c r="U11" s="23"/>
      <c r="V11" s="13"/>
      <c r="W11" s="13"/>
      <c r="X11" s="13"/>
      <c r="Y11" s="13"/>
      <c r="Z11" s="13"/>
    </row>
    <row r="12" spans="1:2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23"/>
      <c r="O12" s="23"/>
      <c r="P12" s="23"/>
      <c r="Q12" s="23"/>
      <c r="R12" s="23"/>
      <c r="S12" s="23"/>
      <c r="T12" s="13"/>
      <c r="U12" s="23"/>
      <c r="V12" s="13"/>
      <c r="W12" s="13"/>
      <c r="X12" s="13"/>
      <c r="Y12" s="13"/>
      <c r="Z12" s="13"/>
    </row>
    <row r="13" spans="1:2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23"/>
      <c r="O13" s="23"/>
      <c r="P13" s="23"/>
      <c r="Q13" s="23"/>
      <c r="R13" s="23"/>
      <c r="S13" s="23"/>
      <c r="T13" s="13"/>
      <c r="U13" s="23"/>
      <c r="V13" s="13"/>
      <c r="W13" s="13"/>
      <c r="X13" s="13"/>
      <c r="Y13" s="13"/>
      <c r="Z13" s="13"/>
    </row>
    <row r="14" spans="1:2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23"/>
      <c r="O14" s="23"/>
      <c r="P14" s="23"/>
      <c r="Q14" s="23"/>
      <c r="R14" s="23"/>
      <c r="S14" s="23"/>
      <c r="T14" s="13"/>
      <c r="U14" s="23"/>
      <c r="V14" s="13"/>
      <c r="W14" s="13"/>
      <c r="X14" s="13"/>
      <c r="Y14" s="13"/>
      <c r="Z14" s="13"/>
    </row>
    <row r="15" spans="1:26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23"/>
      <c r="P15" s="23"/>
      <c r="Q15" s="23"/>
      <c r="R15" s="23"/>
      <c r="S15" s="23"/>
      <c r="T15" s="13"/>
      <c r="U15" s="23"/>
      <c r="V15" s="13"/>
      <c r="W15" s="13"/>
      <c r="X15" s="13"/>
      <c r="Y15" s="13"/>
      <c r="Z15" s="13"/>
    </row>
    <row r="16" spans="1:26" x14ac:dyDescent="0.25">
      <c r="A16" s="13"/>
      <c r="B16" s="13"/>
      <c r="C16" s="13"/>
      <c r="D16" s="13"/>
      <c r="E16" s="13"/>
      <c r="F16" s="13"/>
      <c r="G16" s="13"/>
      <c r="H16" s="14"/>
      <c r="I16" s="13"/>
      <c r="J16" s="13"/>
      <c r="K16" s="13"/>
      <c r="L16" s="13"/>
      <c r="M16" s="13"/>
      <c r="N16" s="13"/>
      <c r="O16" s="24"/>
      <c r="P16" s="23"/>
      <c r="Q16" s="23"/>
      <c r="R16" s="23"/>
      <c r="S16" s="23"/>
      <c r="T16" s="13"/>
      <c r="U16" s="23"/>
      <c r="V16" s="13"/>
      <c r="W16" s="13"/>
      <c r="X16" s="13"/>
      <c r="Y16" s="13"/>
      <c r="Z16" s="13"/>
    </row>
    <row r="17" spans="1:26" x14ac:dyDescent="0.25">
      <c r="A17" s="13"/>
      <c r="B17" s="13"/>
      <c r="C17" s="13"/>
      <c r="D17" s="13"/>
      <c r="E17" s="13"/>
      <c r="F17" s="13"/>
      <c r="G17" s="13"/>
      <c r="H17" s="14"/>
      <c r="I17" s="13"/>
      <c r="J17" s="13"/>
      <c r="K17" s="13"/>
      <c r="L17" s="13"/>
      <c r="M17" s="13"/>
      <c r="N17" s="13"/>
      <c r="O17" s="23"/>
      <c r="P17" s="23"/>
      <c r="Q17" s="23"/>
      <c r="R17" s="23"/>
      <c r="S17" s="23"/>
      <c r="T17" s="13"/>
      <c r="U17" s="23"/>
      <c r="V17" s="13"/>
      <c r="W17" s="13"/>
      <c r="X17" s="13"/>
      <c r="Y17" s="13"/>
      <c r="Z17" s="13"/>
    </row>
    <row r="18" spans="1:26" x14ac:dyDescent="0.25">
      <c r="A18" s="13"/>
      <c r="B18" s="13"/>
      <c r="C18" s="13"/>
      <c r="D18" s="13"/>
      <c r="E18" s="13"/>
      <c r="F18" s="13"/>
      <c r="G18" s="13"/>
      <c r="H18" s="14"/>
      <c r="I18" s="13"/>
      <c r="J18" s="13"/>
      <c r="K18" s="13"/>
      <c r="L18" s="13"/>
      <c r="M18" s="13"/>
      <c r="N18" s="13"/>
      <c r="O18" s="23"/>
      <c r="P18" s="23"/>
      <c r="Q18" s="23"/>
      <c r="R18" s="23"/>
      <c r="S18" s="23"/>
      <c r="T18" s="13"/>
      <c r="U18" s="23"/>
      <c r="V18" s="13"/>
      <c r="W18" s="13"/>
      <c r="X18" s="13"/>
      <c r="Y18" s="13"/>
      <c r="Z18" s="13"/>
    </row>
    <row r="19" spans="1:26" x14ac:dyDescent="0.25">
      <c r="A19" s="13"/>
      <c r="B19" s="13"/>
      <c r="C19" s="13"/>
      <c r="D19" s="13"/>
      <c r="E19" s="13"/>
      <c r="F19" s="13"/>
      <c r="G19" s="13"/>
      <c r="H19" s="14"/>
      <c r="I19" s="13"/>
      <c r="J19" s="13"/>
      <c r="K19" s="13"/>
      <c r="L19" s="13"/>
      <c r="M19" s="13"/>
      <c r="N19" s="23"/>
      <c r="O19" s="23"/>
      <c r="P19" s="23"/>
      <c r="Q19" s="23"/>
      <c r="R19" s="23"/>
      <c r="S19" s="23"/>
      <c r="T19" s="13"/>
      <c r="U19" s="23"/>
      <c r="V19" s="13"/>
      <c r="W19" s="13"/>
      <c r="X19" s="13"/>
      <c r="Y19" s="13"/>
      <c r="Z19" s="13"/>
    </row>
    <row r="20" spans="1:26" x14ac:dyDescent="0.25">
      <c r="A20" s="13"/>
      <c r="B20" s="13"/>
      <c r="C20" s="13"/>
      <c r="D20" s="13"/>
      <c r="E20" s="13"/>
      <c r="F20" s="13"/>
      <c r="G20" s="13"/>
      <c r="H20" s="14"/>
      <c r="I20" s="13"/>
      <c r="J20" s="13"/>
      <c r="K20" s="13"/>
      <c r="L20" s="13"/>
      <c r="M20" s="25"/>
      <c r="N20" s="23"/>
      <c r="O20" s="23"/>
      <c r="P20" s="2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x14ac:dyDescent="0.25">
      <c r="A21" s="13"/>
      <c r="B21" s="13"/>
      <c r="C21" s="13"/>
      <c r="D21" s="13"/>
      <c r="E21" s="13"/>
      <c r="F21" s="13"/>
      <c r="G21" s="13"/>
      <c r="H21" s="14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15.75" x14ac:dyDescent="0.25">
      <c r="A22" s="13"/>
      <c r="B22" s="13"/>
      <c r="C22" s="13"/>
      <c r="D22" s="13"/>
      <c r="E22" s="13"/>
      <c r="F22" s="13"/>
      <c r="G22" s="13"/>
      <c r="H22" s="14"/>
      <c r="I22" s="13"/>
      <c r="J22" s="13"/>
      <c r="K22" s="13"/>
      <c r="L22" s="13"/>
      <c r="M22" s="25"/>
      <c r="N22" s="26"/>
      <c r="O22" s="27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18.75" x14ac:dyDescent="0.3">
      <c r="A23" s="13"/>
      <c r="B23" s="13"/>
      <c r="C23" s="13"/>
      <c r="D23" s="13"/>
      <c r="E23" s="13"/>
      <c r="F23" s="13"/>
      <c r="G23" s="13"/>
      <c r="H23" s="14"/>
      <c r="I23" s="13"/>
      <c r="J23" s="13"/>
      <c r="K23" s="13"/>
      <c r="L23" s="13"/>
      <c r="M23" s="25"/>
      <c r="N23" s="28"/>
      <c r="O23" s="28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x14ac:dyDescent="0.25">
      <c r="A24" s="13"/>
      <c r="B24" s="13"/>
      <c r="C24" s="13"/>
      <c r="D24" s="13"/>
      <c r="E24" s="13"/>
      <c r="F24" s="13"/>
      <c r="G24" s="13"/>
      <c r="H24" s="14"/>
      <c r="I24" s="13"/>
      <c r="J24" s="13"/>
      <c r="K24" s="13"/>
      <c r="L24" s="13"/>
      <c r="M24" s="25"/>
      <c r="N24" s="29"/>
      <c r="O24" s="23"/>
      <c r="P24" s="23"/>
      <c r="Q24" s="23"/>
      <c r="R24" s="23"/>
      <c r="S24" s="13"/>
      <c r="T24" s="13"/>
      <c r="U24" s="13"/>
      <c r="V24" s="13"/>
      <c r="W24" s="13"/>
      <c r="X24" s="13"/>
      <c r="Y24" s="13"/>
      <c r="Z24" s="13"/>
    </row>
    <row r="25" spans="1:26" x14ac:dyDescent="0.25">
      <c r="A25" s="13"/>
      <c r="B25" s="13"/>
      <c r="C25" s="13"/>
      <c r="D25" s="13"/>
      <c r="E25" s="13"/>
      <c r="F25" s="13"/>
      <c r="G25" s="13"/>
      <c r="H25" s="14"/>
      <c r="I25" s="13"/>
      <c r="J25" s="13"/>
      <c r="K25" s="13"/>
      <c r="L25" s="13"/>
      <c r="M25" s="25"/>
      <c r="N25" s="23"/>
      <c r="O25" s="23"/>
      <c r="P25" s="2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ht="15.75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25"/>
      <c r="N27" s="26"/>
      <c r="O27" s="27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x14ac:dyDescent="0.25">
      <c r="A28" s="13"/>
      <c r="B28" s="13"/>
      <c r="C28" s="13"/>
      <c r="D28" s="13"/>
      <c r="E28" s="13"/>
      <c r="F28" s="14"/>
      <c r="G28" s="13"/>
      <c r="H28" s="13"/>
      <c r="I28" s="14"/>
      <c r="J28" s="13"/>
      <c r="K28" s="13"/>
      <c r="L28" s="13"/>
      <c r="M28" s="25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x14ac:dyDescent="0.25">
      <c r="A29" s="13"/>
      <c r="B29" s="13"/>
      <c r="C29" s="13"/>
      <c r="D29" s="14"/>
      <c r="E29" s="13"/>
      <c r="F29" s="14"/>
      <c r="G29" s="13"/>
      <c r="H29" s="13"/>
      <c r="I29" s="14"/>
      <c r="J29" s="13"/>
      <c r="K29" s="13"/>
      <c r="L29" s="13"/>
      <c r="M29" s="25"/>
      <c r="N29" s="29"/>
      <c r="O29" s="23"/>
      <c r="P29" s="23"/>
      <c r="Q29" s="23"/>
      <c r="R29" s="23"/>
      <c r="S29" s="13"/>
      <c r="T29" s="13"/>
      <c r="U29" s="13"/>
      <c r="V29" s="13"/>
      <c r="W29" s="13"/>
      <c r="X29" s="13"/>
      <c r="Y29" s="13"/>
      <c r="Z29" s="13"/>
    </row>
    <row r="30" spans="1:26" x14ac:dyDescent="0.25">
      <c r="A30" s="13"/>
      <c r="B30" s="13"/>
      <c r="C30" s="13"/>
      <c r="D30" s="13"/>
      <c r="E30" s="13"/>
      <c r="F30" s="14"/>
      <c r="G30" s="13"/>
      <c r="H30" s="13"/>
      <c r="I30" s="14"/>
      <c r="J30" s="13"/>
      <c r="K30" s="13"/>
      <c r="L30" s="13"/>
      <c r="M30" s="25"/>
      <c r="N30" s="30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x14ac:dyDescent="0.25">
      <c r="A31" s="13"/>
      <c r="B31" s="13"/>
      <c r="C31" s="13"/>
      <c r="D31" s="13"/>
      <c r="E31" s="13"/>
      <c r="F31" s="14"/>
      <c r="G31" s="13"/>
      <c r="H31" s="13"/>
      <c r="I31" s="14"/>
      <c r="J31" s="13"/>
      <c r="K31" s="13"/>
      <c r="L31" s="13"/>
      <c r="M31" s="25"/>
      <c r="N31" s="30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x14ac:dyDescent="0.25">
      <c r="A32" s="13"/>
      <c r="B32" s="13"/>
      <c r="C32" s="33"/>
      <c r="D32" s="13"/>
      <c r="E32" s="13"/>
      <c r="F32" s="14"/>
      <c r="G32" s="13"/>
      <c r="H32" s="13"/>
      <c r="I32" s="13"/>
      <c r="J32" s="13"/>
      <c r="K32" s="13"/>
      <c r="L32" s="13"/>
      <c r="M32" s="25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3"/>
      <c r="B33" s="13"/>
      <c r="C33" s="13"/>
      <c r="D33" s="13"/>
      <c r="E33" s="13"/>
      <c r="F33" s="14"/>
      <c r="G33" s="13"/>
      <c r="H33" s="13"/>
      <c r="I33" s="13"/>
      <c r="J33" s="13"/>
      <c r="K33" s="13"/>
      <c r="L33" s="13"/>
      <c r="M33" s="25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33"/>
      <c r="D34" s="13"/>
      <c r="E34" s="13"/>
      <c r="F34" s="14"/>
      <c r="G34" s="13"/>
      <c r="H34" s="13"/>
      <c r="I34" s="13"/>
      <c r="J34" s="13"/>
      <c r="K34" s="13"/>
      <c r="L34" s="13"/>
      <c r="M34" s="25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47"/>
      <c r="D35" s="13"/>
      <c r="E35" s="13"/>
      <c r="F35" s="15"/>
      <c r="G35" s="13"/>
      <c r="H35" s="13"/>
      <c r="I35" s="13"/>
      <c r="J35" s="13"/>
      <c r="K35" s="13"/>
      <c r="L35" s="13"/>
      <c r="M35" s="25"/>
      <c r="N35" s="30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15.75" x14ac:dyDescent="0.25">
      <c r="A36" s="13"/>
      <c r="B36" s="13"/>
      <c r="C36" s="13"/>
      <c r="D36" s="13"/>
      <c r="E36" s="13"/>
      <c r="F36" s="14"/>
      <c r="G36" s="13"/>
      <c r="H36" s="13"/>
      <c r="I36" s="14"/>
      <c r="J36" s="13"/>
      <c r="K36" s="13"/>
      <c r="L36" s="13"/>
      <c r="M36" s="25"/>
      <c r="N36" s="31"/>
      <c r="O36" s="32"/>
      <c r="P36" s="32"/>
      <c r="Q36" s="32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4"/>
      <c r="G37" s="13"/>
      <c r="H37" s="13"/>
      <c r="I37" s="14"/>
      <c r="J37" s="13"/>
      <c r="K37" s="13"/>
      <c r="L37" s="13"/>
      <c r="M37" s="13"/>
      <c r="N37" s="32"/>
      <c r="O37" s="32"/>
      <c r="P37" s="32"/>
      <c r="Q37" s="32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15.75" x14ac:dyDescent="0.25">
      <c r="A38" s="13"/>
      <c r="B38" s="13"/>
      <c r="C38" s="13"/>
      <c r="D38" s="13"/>
      <c r="E38" s="13"/>
      <c r="F38" s="14"/>
      <c r="G38" s="13"/>
      <c r="H38" s="13"/>
      <c r="I38" s="14"/>
      <c r="J38" s="13"/>
      <c r="K38" s="13"/>
      <c r="L38" s="13"/>
      <c r="M38" s="13"/>
      <c r="N38" s="31"/>
      <c r="O38" s="31"/>
      <c r="P38" s="31"/>
      <c r="Q38" s="31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4"/>
      <c r="G39" s="13"/>
      <c r="H39" s="13"/>
      <c r="I39" s="14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33"/>
      <c r="E40" s="13"/>
      <c r="F40" s="13"/>
      <c r="G40" s="13"/>
      <c r="H40" s="13"/>
      <c r="I40" s="14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25"/>
      <c r="N41" s="29"/>
      <c r="O41" s="23"/>
      <c r="P41" s="2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25"/>
      <c r="N42" s="30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25"/>
      <c r="N43" s="30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4"/>
      <c r="F44" s="19"/>
      <c r="G44" s="13"/>
      <c r="H44" s="14"/>
      <c r="I44" s="18"/>
      <c r="J44" s="13"/>
      <c r="K44" s="13"/>
      <c r="L44" s="13"/>
      <c r="M44" s="25"/>
      <c r="N44" s="30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4"/>
      <c r="F45" s="15"/>
      <c r="G45" s="13"/>
      <c r="H45" s="14"/>
      <c r="I45" s="16"/>
      <c r="J45" s="13"/>
      <c r="K45" s="13"/>
      <c r="L45" s="34"/>
      <c r="M45" s="25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4"/>
      <c r="F46" s="17"/>
      <c r="G46" s="13"/>
      <c r="H46" s="14"/>
      <c r="I46" s="18"/>
      <c r="J46" s="13"/>
      <c r="K46" s="13"/>
      <c r="L46" s="13"/>
      <c r="M46" s="25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4"/>
      <c r="I47" s="14"/>
      <c r="J47" s="13"/>
      <c r="K47" s="13"/>
      <c r="L47" s="13"/>
      <c r="M47" s="25"/>
      <c r="N47" s="35"/>
      <c r="O47" s="35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4"/>
      <c r="F48" s="14"/>
      <c r="G48" s="13"/>
      <c r="H48" s="14"/>
      <c r="I48" s="14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4"/>
      <c r="F49" s="19"/>
      <c r="G49" s="13"/>
      <c r="H49" s="14"/>
      <c r="I49" s="18"/>
      <c r="J49" s="13"/>
      <c r="K49" s="13"/>
      <c r="L49" s="36"/>
      <c r="M49" s="13"/>
      <c r="N49" s="23"/>
      <c r="O49" s="23"/>
      <c r="P49" s="2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4"/>
      <c r="F50" s="14"/>
      <c r="G50" s="13"/>
      <c r="H50" s="14"/>
      <c r="I50" s="18"/>
      <c r="J50" s="13"/>
      <c r="K50" s="13"/>
      <c r="L50" s="37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25"/>
      <c r="N51" s="23"/>
      <c r="O51" s="23"/>
      <c r="P51" s="23"/>
      <c r="Q51" s="23"/>
      <c r="R51" s="23"/>
      <c r="S51" s="13"/>
      <c r="T51" s="13"/>
      <c r="U51" s="13"/>
      <c r="V51" s="13"/>
      <c r="W51" s="13"/>
      <c r="X51" s="13"/>
      <c r="Y51" s="13"/>
      <c r="Z51" s="13"/>
    </row>
    <row r="52" spans="1:26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x14ac:dyDescent="0.25">
      <c r="A53" s="13"/>
      <c r="B53" s="13"/>
      <c r="C53" s="13"/>
      <c r="D53" s="13"/>
      <c r="E53" s="13"/>
      <c r="F53" s="13"/>
      <c r="G53" s="13"/>
      <c r="H53" s="20"/>
      <c r="I53" s="20"/>
      <c r="J53" s="13"/>
      <c r="K53" s="13"/>
      <c r="L53" s="13"/>
      <c r="M53" s="25"/>
      <c r="N53" s="35"/>
      <c r="O53" s="35"/>
      <c r="P53" s="35"/>
      <c r="Q53" s="35"/>
      <c r="R53" s="13"/>
      <c r="S53" s="13"/>
      <c r="T53" s="13"/>
      <c r="U53" s="13"/>
      <c r="V53" s="13"/>
      <c r="W53" s="13"/>
      <c r="X53" s="13"/>
      <c r="Y53" s="13"/>
      <c r="Z53" s="13"/>
    </row>
    <row r="54" spans="1:26" x14ac:dyDescent="0.25">
      <c r="A54" s="13"/>
      <c r="B54" s="13"/>
      <c r="C54" s="13"/>
      <c r="D54" s="13"/>
      <c r="E54" s="13"/>
      <c r="F54" s="13"/>
      <c r="G54" s="13"/>
      <c r="H54" s="13"/>
      <c r="I54" s="20"/>
      <c r="J54" s="13"/>
      <c r="K54" s="20"/>
      <c r="L54" s="13"/>
      <c r="M54" s="13"/>
      <c r="N54" s="35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x14ac:dyDescent="0.25">
      <c r="A55" s="13"/>
      <c r="B55" s="13"/>
      <c r="C55" s="13"/>
      <c r="D55" s="13"/>
      <c r="E55" s="13"/>
      <c r="F55" s="13"/>
      <c r="G55" s="13"/>
      <c r="H55" s="13"/>
      <c r="I55" s="21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x14ac:dyDescent="0.25">
      <c r="A56" s="13"/>
      <c r="B56" s="13"/>
      <c r="C56" s="13"/>
      <c r="D56" s="13"/>
      <c r="E56" s="13"/>
      <c r="F56" s="13"/>
      <c r="G56" s="13"/>
      <c r="H56" s="13"/>
      <c r="I56" s="21"/>
      <c r="J56" s="13"/>
      <c r="K56" s="13"/>
      <c r="L56" s="13"/>
      <c r="M56" s="13"/>
      <c r="N56" s="23"/>
      <c r="O56" s="23"/>
      <c r="P56" s="2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37"/>
      <c r="N57" s="23"/>
      <c r="O57" s="23"/>
      <c r="P57" s="2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x14ac:dyDescent="0.25">
      <c r="A59" s="13"/>
      <c r="B59" s="13"/>
      <c r="C59" s="13"/>
      <c r="D59" s="13"/>
      <c r="E59" s="13"/>
      <c r="F59" s="14"/>
      <c r="G59" s="18"/>
      <c r="H59" s="14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x14ac:dyDescent="0.25">
      <c r="A60" s="13"/>
      <c r="B60" s="13"/>
      <c r="C60" s="13"/>
      <c r="D60" s="13"/>
      <c r="E60" s="13"/>
      <c r="F60" s="14"/>
      <c r="G60" s="18"/>
      <c r="H60" s="14"/>
      <c r="I60" s="13"/>
      <c r="J60" s="13"/>
      <c r="K60" s="13"/>
      <c r="L60" s="13"/>
      <c r="M60" s="25"/>
      <c r="N60" s="38"/>
      <c r="O60" s="38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x14ac:dyDescent="0.25">
      <c r="A61" s="13"/>
      <c r="B61" s="13"/>
      <c r="C61" s="13"/>
      <c r="D61" s="13"/>
      <c r="E61" s="13"/>
      <c r="F61" s="14"/>
      <c r="G61" s="15"/>
      <c r="H61" s="14"/>
      <c r="I61" s="13"/>
      <c r="J61" s="13"/>
      <c r="K61" s="13"/>
      <c r="L61" s="13"/>
      <c r="M61" s="32"/>
      <c r="N61" s="39"/>
      <c r="O61" s="32"/>
      <c r="P61" s="32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x14ac:dyDescent="0.25">
      <c r="A62" s="13"/>
      <c r="B62" s="13"/>
      <c r="C62" s="13"/>
      <c r="D62" s="13"/>
      <c r="E62" s="13"/>
      <c r="F62" s="14"/>
      <c r="G62" s="18"/>
      <c r="H62" s="14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15.75" x14ac:dyDescent="0.25">
      <c r="A63" s="13"/>
      <c r="B63" s="13"/>
      <c r="C63" s="13"/>
      <c r="D63" s="13"/>
      <c r="E63" s="13"/>
      <c r="F63" s="25"/>
      <c r="G63" s="40"/>
      <c r="H63" s="25"/>
      <c r="I63" s="13"/>
      <c r="J63" s="13"/>
      <c r="K63" s="13"/>
      <c r="L63" s="13"/>
      <c r="M63" s="13"/>
      <c r="N63" s="41"/>
      <c r="O63" s="31"/>
      <c r="P63" s="31"/>
      <c r="Q63" s="31"/>
      <c r="R63" s="13"/>
      <c r="S63" s="13"/>
      <c r="T63" s="13"/>
      <c r="U63" s="13"/>
      <c r="V63" s="13"/>
      <c r="W63" s="13"/>
      <c r="X63" s="13"/>
      <c r="Y63" s="13"/>
      <c r="Z63" s="13"/>
    </row>
    <row r="64" spans="1:26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42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43"/>
      <c r="T66" s="13"/>
      <c r="U66" s="13"/>
      <c r="V66" s="13"/>
      <c r="W66" s="13"/>
      <c r="X66" s="13"/>
      <c r="Y66" s="13"/>
      <c r="Z66" s="13"/>
    </row>
    <row r="67" spans="1:26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43"/>
      <c r="P67" s="43"/>
      <c r="Q67" s="44"/>
      <c r="R67" s="44"/>
      <c r="S67" s="43"/>
      <c r="T67" s="13"/>
      <c r="U67" s="13"/>
      <c r="V67" s="13"/>
      <c r="W67" s="13"/>
      <c r="X67" s="13"/>
      <c r="Y67" s="13"/>
      <c r="Z67" s="13"/>
    </row>
    <row r="68" spans="1:26" x14ac:dyDescent="0.25">
      <c r="A68" s="13"/>
      <c r="B68" s="13"/>
      <c r="C68" s="13"/>
      <c r="D68" s="13"/>
      <c r="E68" s="13"/>
      <c r="F68" s="22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4"/>
      <c r="R68" s="14"/>
      <c r="S68" s="13"/>
      <c r="T68" s="13"/>
      <c r="U68" s="13"/>
      <c r="V68" s="13"/>
      <c r="W68" s="13"/>
      <c r="X68" s="13"/>
      <c r="Y68" s="13"/>
      <c r="Z68" s="13"/>
    </row>
    <row r="69" spans="1:26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5"/>
      <c r="R69" s="14"/>
      <c r="S69" s="13"/>
      <c r="T69" s="13"/>
      <c r="U69" s="13"/>
      <c r="V69" s="13"/>
      <c r="W69" s="13"/>
      <c r="X69" s="13"/>
      <c r="Y69" s="13"/>
      <c r="Z69" s="13"/>
    </row>
    <row r="70" spans="1:26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4"/>
      <c r="R70" s="14"/>
      <c r="S70" s="13"/>
      <c r="T70" s="13"/>
      <c r="U70" s="13"/>
      <c r="V70" s="13"/>
      <c r="W70" s="13"/>
      <c r="X70" s="13"/>
      <c r="Y70" s="13"/>
      <c r="Z70" s="13"/>
    </row>
    <row r="71" spans="1:26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4"/>
      <c r="R71" s="14"/>
      <c r="S71" s="13"/>
      <c r="T71" s="13"/>
      <c r="U71" s="13"/>
      <c r="V71" s="13"/>
      <c r="W71" s="13"/>
      <c r="X71" s="13"/>
      <c r="Y71" s="13"/>
      <c r="Z71" s="13"/>
    </row>
    <row r="72" spans="1:26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4"/>
      <c r="R72" s="14"/>
      <c r="S72" s="13"/>
      <c r="T72" s="13"/>
      <c r="U72" s="13"/>
      <c r="V72" s="13"/>
      <c r="W72" s="13"/>
      <c r="X72" s="13"/>
      <c r="Y72" s="13"/>
      <c r="Z72" s="13"/>
    </row>
    <row r="73" spans="1:26" x14ac:dyDescent="0.25">
      <c r="A73" s="13"/>
      <c r="B73" s="13"/>
      <c r="C73" s="13"/>
      <c r="D73" s="13"/>
      <c r="E73" s="13"/>
      <c r="F73" s="14"/>
      <c r="G73" s="18"/>
      <c r="H73" s="14"/>
      <c r="I73" s="13"/>
      <c r="J73" s="13"/>
      <c r="K73" s="13"/>
      <c r="L73" s="13"/>
      <c r="M73" s="13"/>
      <c r="N73" s="13"/>
      <c r="O73" s="13"/>
      <c r="P73" s="13"/>
      <c r="Q73" s="14"/>
      <c r="R73" s="14"/>
      <c r="S73" s="13"/>
      <c r="T73" s="13"/>
      <c r="U73" s="13"/>
      <c r="V73" s="13"/>
      <c r="W73" s="13"/>
      <c r="X73" s="13"/>
      <c r="Y73" s="13"/>
      <c r="Z73" s="13"/>
    </row>
    <row r="74" spans="1:26" x14ac:dyDescent="0.25">
      <c r="A74" s="13"/>
      <c r="B74" s="13"/>
      <c r="C74" s="13"/>
      <c r="D74" s="13"/>
      <c r="E74" s="13"/>
      <c r="F74" s="14"/>
      <c r="G74" s="18"/>
      <c r="H74" s="14"/>
      <c r="I74" s="13"/>
      <c r="J74" s="13"/>
      <c r="K74" s="13"/>
      <c r="L74" s="13"/>
      <c r="M74" s="13"/>
      <c r="N74" s="13"/>
      <c r="O74" s="13"/>
      <c r="P74" s="13"/>
      <c r="Q74" s="14"/>
      <c r="R74" s="14"/>
      <c r="S74" s="13"/>
      <c r="T74" s="13"/>
      <c r="U74" s="13"/>
      <c r="V74" s="13"/>
      <c r="W74" s="13"/>
      <c r="X74" s="13"/>
      <c r="Y74" s="13"/>
      <c r="Z74" s="13"/>
    </row>
    <row r="75" spans="1:26" x14ac:dyDescent="0.25">
      <c r="A75" s="13"/>
      <c r="B75" s="13"/>
      <c r="C75" s="13"/>
      <c r="D75" s="13"/>
      <c r="E75" s="13"/>
      <c r="F75" s="14"/>
      <c r="G75" s="15"/>
      <c r="H75" s="14"/>
      <c r="I75" s="13"/>
      <c r="J75" s="13"/>
      <c r="K75" s="13"/>
      <c r="L75" s="13"/>
      <c r="M75" s="13"/>
      <c r="N75" s="13"/>
      <c r="O75" s="13"/>
      <c r="P75" s="13"/>
      <c r="Q75" s="15"/>
      <c r="R75" s="14"/>
      <c r="S75" s="13"/>
      <c r="T75" s="13"/>
      <c r="U75" s="13"/>
      <c r="V75" s="13"/>
      <c r="W75" s="13"/>
      <c r="X75" s="13"/>
      <c r="Y75" s="13"/>
      <c r="Z75" s="13"/>
    </row>
    <row r="76" spans="1:26" x14ac:dyDescent="0.25">
      <c r="A76" s="13"/>
      <c r="B76" s="13"/>
      <c r="C76" s="13"/>
      <c r="D76" s="13"/>
      <c r="E76" s="13"/>
      <c r="F76" s="14"/>
      <c r="G76" s="18"/>
      <c r="H76" s="14"/>
      <c r="I76" s="13"/>
      <c r="J76" s="13"/>
      <c r="K76" s="13"/>
      <c r="L76" s="13"/>
      <c r="M76" s="13"/>
      <c r="N76" s="13"/>
      <c r="O76" s="13"/>
      <c r="P76" s="13"/>
      <c r="Q76" s="14"/>
      <c r="R76" s="14"/>
      <c r="S76" s="13"/>
      <c r="T76" s="13"/>
      <c r="U76" s="13"/>
      <c r="V76" s="13"/>
      <c r="W76" s="13"/>
      <c r="X76" s="13"/>
      <c r="Y76" s="13"/>
      <c r="Z76" s="13"/>
    </row>
    <row r="77" spans="1:26" x14ac:dyDescent="0.25">
      <c r="A77" s="13"/>
      <c r="B77" s="13"/>
      <c r="C77" s="13"/>
      <c r="D77" s="13"/>
      <c r="E77" s="13"/>
      <c r="F77" s="25"/>
      <c r="G77" s="40"/>
      <c r="H77" s="25"/>
      <c r="I77" s="13"/>
      <c r="J77" s="13"/>
      <c r="K77" s="13"/>
      <c r="L77" s="13"/>
      <c r="M77" s="13"/>
      <c r="N77" s="13"/>
      <c r="O77" s="13"/>
      <c r="P77" s="13"/>
      <c r="Q77" s="18"/>
      <c r="R77" s="14"/>
      <c r="S77" s="13"/>
      <c r="T77" s="13"/>
      <c r="U77" s="13"/>
      <c r="V77" s="13"/>
      <c r="W77" s="13"/>
      <c r="X77" s="13"/>
      <c r="Y77" s="13"/>
      <c r="Z77" s="13"/>
    </row>
    <row r="78" spans="1:26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8"/>
      <c r="R78" s="14"/>
      <c r="S78" s="13"/>
      <c r="T78" s="13"/>
      <c r="U78" s="13"/>
      <c r="V78" s="13"/>
      <c r="W78" s="13"/>
      <c r="X78" s="13"/>
      <c r="Y78" s="13"/>
      <c r="Z78" s="13"/>
    </row>
    <row r="79" spans="1:26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6"/>
      <c r="R79" s="14"/>
      <c r="S79" s="13"/>
      <c r="T79" s="13"/>
      <c r="U79" s="13"/>
      <c r="V79" s="13"/>
      <c r="W79" s="13"/>
      <c r="X79" s="13"/>
      <c r="Y79" s="13"/>
      <c r="Z79" s="13"/>
    </row>
    <row r="80" spans="1:26" x14ac:dyDescent="0.25">
      <c r="A80" s="13"/>
      <c r="B80" s="13"/>
      <c r="C80" s="13"/>
      <c r="D80" s="13"/>
      <c r="E80" s="13"/>
      <c r="F80" s="13"/>
      <c r="G80" s="13"/>
      <c r="H80" s="13"/>
      <c r="I80" s="20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</row>
    <row r="81" spans="1:26" x14ac:dyDescent="0.25">
      <c r="A81" s="13"/>
      <c r="B81" s="13"/>
      <c r="C81" s="13"/>
      <c r="D81" s="13"/>
      <c r="E81" s="20"/>
      <c r="F81" s="20"/>
      <c r="G81" s="20"/>
      <c r="H81" s="13"/>
      <c r="I81" s="13"/>
      <c r="J81" s="13"/>
      <c r="K81" s="13"/>
      <c r="L81" s="13"/>
      <c r="M81" s="13"/>
      <c r="N81" s="42"/>
      <c r="O81" s="42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</row>
    <row r="82" spans="1:26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45"/>
      <c r="P82" s="13"/>
      <c r="Q82" s="46"/>
      <c r="R82" s="13"/>
      <c r="S82" s="13"/>
      <c r="T82" s="13"/>
      <c r="U82" s="13"/>
      <c r="V82" s="13"/>
      <c r="W82" s="13"/>
      <c r="X82" s="13"/>
      <c r="Y82" s="13"/>
      <c r="Z82" s="13"/>
    </row>
    <row r="83" spans="1:26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</row>
    <row r="84" spans="1:26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</row>
    <row r="85" spans="1:26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</row>
    <row r="86" spans="1:26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26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</row>
    <row r="88" spans="1:26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</row>
    <row r="89" spans="1:26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</row>
    <row r="90" spans="1:26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</row>
    <row r="91" spans="1:26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</row>
    <row r="92" spans="1:26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</row>
    <row r="93" spans="1:26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</row>
    <row r="94" spans="1:26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</row>
    <row r="95" spans="1:26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</row>
    <row r="96" spans="1:26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</row>
    <row r="97" spans="1:26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</row>
    <row r="98" spans="1:26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02"/>
  <sheetViews>
    <sheetView tabSelected="1" zoomScaleNormal="100" workbookViewId="0">
      <selection activeCell="E16" sqref="E16"/>
    </sheetView>
  </sheetViews>
  <sheetFormatPr defaultRowHeight="15" x14ac:dyDescent="0.25"/>
  <cols>
    <col min="1" max="1" width="20.42578125" bestFit="1" customWidth="1"/>
    <col min="2" max="2" width="7.85546875" customWidth="1"/>
    <col min="3" max="3" width="13" bestFit="1" customWidth="1"/>
    <col min="4" max="4" width="13.28515625" customWidth="1"/>
    <col min="5" max="5" width="29.28515625" customWidth="1"/>
    <col min="6" max="6" width="13" bestFit="1" customWidth="1"/>
    <col min="7" max="7" width="13" customWidth="1"/>
    <col min="8" max="8" width="16.140625" bestFit="1" customWidth="1"/>
    <col min="9" max="9" width="17.42578125" bestFit="1" customWidth="1"/>
    <col min="15" max="15" width="9.5703125" bestFit="1" customWidth="1"/>
    <col min="16" max="16" width="10.42578125" customWidth="1"/>
  </cols>
  <sheetData>
    <row r="1" spans="1:11" ht="24.75" thickTop="1" thickBot="1" x14ac:dyDescent="0.3">
      <c r="A1" s="120" t="s">
        <v>79</v>
      </c>
      <c r="B1" s="120"/>
      <c r="C1" s="120"/>
      <c r="E1" s="121" t="s">
        <v>92</v>
      </c>
      <c r="F1" s="122"/>
      <c r="G1" s="122"/>
      <c r="H1" s="122"/>
      <c r="I1" s="122"/>
      <c r="J1" s="122"/>
      <c r="K1" s="123"/>
    </row>
    <row r="2" spans="1:11" x14ac:dyDescent="0.25">
      <c r="A2" s="86" t="s">
        <v>108</v>
      </c>
      <c r="B2" s="86" t="s">
        <v>53</v>
      </c>
      <c r="C2" s="106">
        <v>50</v>
      </c>
      <c r="E2" s="107" t="s">
        <v>38</v>
      </c>
      <c r="F2" s="107" t="s">
        <v>72</v>
      </c>
      <c r="G2" s="108">
        <f>C47+SUM(C29:E29)+C34</f>
        <v>4.3702867103893421E-3</v>
      </c>
    </row>
    <row r="3" spans="1:11" ht="15.75" thickBot="1" x14ac:dyDescent="0.3">
      <c r="A3" s="86" t="s">
        <v>54</v>
      </c>
      <c r="B3" s="87" t="s">
        <v>15</v>
      </c>
      <c r="C3" s="105" t="str">
        <f>VLOOKUP(C2,zPipeCatalogue_LOGSTOR!A3:K26,11)</f>
        <v>DN0050</v>
      </c>
      <c r="E3" s="99" t="s">
        <v>17</v>
      </c>
      <c r="F3" s="99" t="s">
        <v>59</v>
      </c>
      <c r="G3" s="94">
        <f>C32+(C7-C32)*EXP(-(1/(G2*C10*C38)))</f>
        <v>76.284632739694885</v>
      </c>
    </row>
    <row r="4" spans="1:11" ht="21.75" thickTop="1" x14ac:dyDescent="0.35">
      <c r="A4" s="86" t="s">
        <v>60</v>
      </c>
      <c r="B4" s="87" t="s">
        <v>15</v>
      </c>
      <c r="C4" s="76">
        <v>1</v>
      </c>
      <c r="E4" s="98" t="s">
        <v>110</v>
      </c>
      <c r="F4" s="96" t="s">
        <v>59</v>
      </c>
      <c r="G4" s="97">
        <f>Tout(C7, C32, C10, C8, C9, 10, C5, C23, D23, E23, E24)</f>
        <v>76.284547701604197</v>
      </c>
    </row>
    <row r="5" spans="1:11" ht="21" x14ac:dyDescent="0.35">
      <c r="A5" s="86" t="s">
        <v>80</v>
      </c>
      <c r="B5" s="87" t="s">
        <v>0</v>
      </c>
      <c r="C5" s="76">
        <v>0.1</v>
      </c>
      <c r="E5" s="98" t="s">
        <v>109</v>
      </c>
      <c r="F5" s="96" t="s">
        <v>59</v>
      </c>
      <c r="G5" s="97">
        <f>Tout_simple(C7, C10, C8,C2)</f>
        <v>76.284527420886349</v>
      </c>
    </row>
    <row r="6" spans="1:11" x14ac:dyDescent="0.25">
      <c r="B6" s="74"/>
      <c r="E6" s="100" t="s">
        <v>93</v>
      </c>
      <c r="F6" s="100" t="s">
        <v>59</v>
      </c>
      <c r="G6" s="89">
        <f>C7-G4</f>
        <v>3.7154522983958032</v>
      </c>
    </row>
    <row r="7" spans="1:11" x14ac:dyDescent="0.25">
      <c r="A7" s="86" t="s">
        <v>94</v>
      </c>
      <c r="B7" s="86" t="s">
        <v>59</v>
      </c>
      <c r="C7" s="68">
        <v>80</v>
      </c>
      <c r="E7" s="100" t="s">
        <v>96</v>
      </c>
      <c r="F7" s="100" t="s">
        <v>97</v>
      </c>
      <c r="G7" s="89">
        <f>(C7-C32)/G2/C8</f>
        <v>16.01725576346999</v>
      </c>
    </row>
    <row r="8" spans="1:11" x14ac:dyDescent="0.25">
      <c r="A8" s="86" t="s">
        <v>73</v>
      </c>
      <c r="B8" s="86" t="s">
        <v>76</v>
      </c>
      <c r="C8" s="68">
        <v>1000</v>
      </c>
    </row>
    <row r="9" spans="1:11" ht="15.75" x14ac:dyDescent="0.25">
      <c r="A9" s="86" t="s">
        <v>74</v>
      </c>
      <c r="B9" s="86" t="s">
        <v>53</v>
      </c>
      <c r="C9" s="68">
        <v>1000</v>
      </c>
      <c r="E9" s="110" t="s">
        <v>81</v>
      </c>
      <c r="F9" s="110"/>
      <c r="G9" s="110"/>
      <c r="H9" s="110"/>
      <c r="I9" s="110"/>
      <c r="J9" s="110"/>
      <c r="K9" s="110"/>
    </row>
    <row r="10" spans="1:11" x14ac:dyDescent="0.25">
      <c r="A10" s="86" t="s">
        <v>75</v>
      </c>
      <c r="B10" s="86" t="s">
        <v>77</v>
      </c>
      <c r="C10" s="95">
        <v>1</v>
      </c>
      <c r="E10" s="51" t="s">
        <v>40</v>
      </c>
    </row>
    <row r="11" spans="1:11" x14ac:dyDescent="0.25">
      <c r="A11" s="86" t="s">
        <v>27</v>
      </c>
      <c r="B11" s="86" t="s">
        <v>78</v>
      </c>
      <c r="C11" s="89">
        <f>C10*(1/C37)*(1/(PI()*(C23/1000)^2/4))</f>
        <v>0.44111283699765502</v>
      </c>
      <c r="E11" s="50" t="s">
        <v>39</v>
      </c>
    </row>
    <row r="12" spans="1:11" x14ac:dyDescent="0.25">
      <c r="E12" s="50" t="s">
        <v>41</v>
      </c>
    </row>
    <row r="13" spans="1:11" ht="15.75" thickBot="1" x14ac:dyDescent="0.3">
      <c r="A13" s="102" t="s">
        <v>103</v>
      </c>
      <c r="E13" s="50" t="s">
        <v>66</v>
      </c>
    </row>
    <row r="14" spans="1:11" x14ac:dyDescent="0.25">
      <c r="A14" s="101" t="s">
        <v>100</v>
      </c>
    </row>
    <row r="15" spans="1:11" x14ac:dyDescent="0.25">
      <c r="A15" s="77" t="s">
        <v>99</v>
      </c>
    </row>
    <row r="16" spans="1:11" ht="15.75" thickBot="1" x14ac:dyDescent="0.3">
      <c r="A16" s="75" t="s">
        <v>101</v>
      </c>
    </row>
    <row r="17" spans="1:11" ht="15.75" thickTop="1" x14ac:dyDescent="0.25">
      <c r="A17" s="88" t="s">
        <v>102</v>
      </c>
    </row>
    <row r="18" spans="1:11" x14ac:dyDescent="0.25">
      <c r="A18" s="109" t="s">
        <v>112</v>
      </c>
    </row>
    <row r="20" spans="1:11" ht="27" thickBot="1" x14ac:dyDescent="0.45">
      <c r="A20" s="116" t="s">
        <v>111</v>
      </c>
      <c r="B20" s="116"/>
      <c r="C20" s="116"/>
      <c r="D20" s="116"/>
      <c r="E20" s="116"/>
      <c r="F20" s="116"/>
      <c r="G20" s="116"/>
    </row>
    <row r="21" spans="1:11" ht="15.75" x14ac:dyDescent="0.25">
      <c r="A21" s="112" t="s">
        <v>91</v>
      </c>
      <c r="B21" s="112"/>
      <c r="C21" s="112"/>
      <c r="D21" s="112"/>
      <c r="E21" s="112"/>
      <c r="F21" s="112"/>
      <c r="G21" s="112"/>
    </row>
    <row r="22" spans="1:11" x14ac:dyDescent="0.25">
      <c r="A22" s="5"/>
      <c r="B22" s="5"/>
      <c r="C22" s="69" t="s">
        <v>28</v>
      </c>
      <c r="D22" s="69" t="s">
        <v>31</v>
      </c>
      <c r="E22" s="69" t="s">
        <v>32</v>
      </c>
    </row>
    <row r="23" spans="1:11" ht="15.75" thickBot="1" x14ac:dyDescent="0.3">
      <c r="A23" s="70" t="s">
        <v>35</v>
      </c>
      <c r="B23" s="70" t="s">
        <v>53</v>
      </c>
      <c r="C23" s="75">
        <f>VLOOKUP(C3,zPipeCatalogue_LOGSTOR!$K$3:$M$26,2)</f>
        <v>54.5</v>
      </c>
      <c r="D23" s="75">
        <f>C24</f>
        <v>60.3</v>
      </c>
      <c r="E23" s="75">
        <f>D24</f>
        <v>119</v>
      </c>
    </row>
    <row r="24" spans="1:11" ht="16.5" thickTop="1" thickBot="1" x14ac:dyDescent="0.3">
      <c r="A24" s="70" t="s">
        <v>36</v>
      </c>
      <c r="B24" s="70" t="s">
        <v>53</v>
      </c>
      <c r="C24" s="75">
        <f>VLOOKUP(C3,zPipeCatalogue_LOGSTOR!$K$3:$M$26,3)</f>
        <v>60.3</v>
      </c>
      <c r="D24" s="75">
        <f>IF(C4=1,VLOOKUP(C3,zPipeCatalogue_LOGSTOR!$K$3:$O$26,4),IF(C4=2,VLOOKUP(C3,zPipeCatalogue_LOGSTOR!$K$3:$Q$20,6),VLOOKUP(C3,zPipeCatalogue_LOGSTOR!$K$3:$S$19,8)))</f>
        <v>119</v>
      </c>
      <c r="E24" s="75">
        <f>IF(C4=1,VLOOKUP(C3,zPipeCatalogue_LOGSTOR!$K$3:$O$26,5),IF(C4=2,VLOOKUP(C3,zPipeCatalogue_LOGSTOR!$K$3:$Q$20,7),VLOOKUP(C3,zPipeCatalogue_LOGSTOR!$K$3:$S$19,9)))</f>
        <v>125</v>
      </c>
    </row>
    <row r="25" spans="1:11" ht="15.75" thickTop="1" x14ac:dyDescent="0.25">
      <c r="A25" s="72" t="s">
        <v>68</v>
      </c>
      <c r="B25" s="72" t="s">
        <v>33</v>
      </c>
      <c r="C25" s="68">
        <v>51</v>
      </c>
      <c r="D25" s="68">
        <v>2.7E-2</v>
      </c>
      <c r="E25" s="68">
        <v>0.43</v>
      </c>
    </row>
    <row r="26" spans="1:11" ht="15.75" thickBot="1" x14ac:dyDescent="0.3">
      <c r="A26" s="71" t="s">
        <v>34</v>
      </c>
      <c r="B26" s="73" t="s">
        <v>15</v>
      </c>
      <c r="C26" s="76" t="s">
        <v>30</v>
      </c>
      <c r="D26" s="76" t="s">
        <v>29</v>
      </c>
      <c r="E26" s="76" t="s">
        <v>104</v>
      </c>
      <c r="J26" s="111" t="s">
        <v>65</v>
      </c>
      <c r="K26" s="111"/>
    </row>
    <row r="28" spans="1:11" ht="18" x14ac:dyDescent="0.35">
      <c r="A28" s="5"/>
      <c r="B28" s="5"/>
      <c r="C28" s="103" t="s">
        <v>105</v>
      </c>
      <c r="D28" s="103" t="s">
        <v>106</v>
      </c>
      <c r="E28" s="103" t="s">
        <v>107</v>
      </c>
    </row>
    <row r="29" spans="1:11" x14ac:dyDescent="0.25">
      <c r="A29" s="70" t="s">
        <v>57</v>
      </c>
      <c r="B29" s="70" t="s">
        <v>72</v>
      </c>
      <c r="C29" s="78">
        <f>LN(C24/C23)/(2*PI()*$C$8*C25)</f>
        <v>3.1559926549588557E-7</v>
      </c>
      <c r="D29" s="78">
        <f>LN(D24/D23)/(2*PI()*$C$8*D25)</f>
        <v>4.0071170329954841E-3</v>
      </c>
      <c r="E29" s="78">
        <f>LN(E24/E23)/(2*PI()*$C$8*E25)</f>
        <v>1.8206675615950509E-5</v>
      </c>
    </row>
    <row r="31" spans="1:11" ht="15.75" x14ac:dyDescent="0.25">
      <c r="A31" s="113" t="s">
        <v>89</v>
      </c>
      <c r="B31" s="113"/>
      <c r="C31" s="113"/>
      <c r="D31" s="113"/>
      <c r="E31" s="113"/>
      <c r="F31" s="113"/>
      <c r="G31" s="113"/>
    </row>
    <row r="32" spans="1:11" ht="18" x14ac:dyDescent="0.35">
      <c r="A32" s="81" t="s">
        <v>95</v>
      </c>
      <c r="B32" s="81" t="s">
        <v>59</v>
      </c>
      <c r="C32" s="68">
        <v>10</v>
      </c>
    </row>
    <row r="33" spans="1:7" ht="18" x14ac:dyDescent="0.35">
      <c r="A33" s="81" t="s">
        <v>98</v>
      </c>
      <c r="B33" s="81" t="s">
        <v>33</v>
      </c>
      <c r="C33" s="68">
        <v>1.6</v>
      </c>
    </row>
    <row r="34" spans="1:7" ht="18" x14ac:dyDescent="0.35">
      <c r="A34" s="81" t="s">
        <v>87</v>
      </c>
      <c r="B34" s="81" t="s">
        <v>72</v>
      </c>
      <c r="C34" s="78">
        <f>LN((C9/(E24/2))+((C9/(E24/2))^2-1)^0.5)/(2*PI()*C33*C8)</f>
        <v>3.4464584216511963E-4</v>
      </c>
    </row>
    <row r="36" spans="1:7" ht="15.75" x14ac:dyDescent="0.25">
      <c r="A36" s="114" t="s">
        <v>88</v>
      </c>
      <c r="B36" s="114"/>
      <c r="C36" s="114"/>
      <c r="D36" s="114"/>
      <c r="E36" s="114"/>
      <c r="F36" s="114"/>
      <c r="G36" s="114"/>
    </row>
    <row r="37" spans="1:7" ht="17.25" x14ac:dyDescent="0.25">
      <c r="A37" s="92" t="s">
        <v>4</v>
      </c>
      <c r="B37" s="92" t="s">
        <v>70</v>
      </c>
      <c r="C37" s="90">
        <f>rhoL_T(C7)</f>
        <v>971.77879359254007</v>
      </c>
      <c r="E37" s="79" t="s">
        <v>37</v>
      </c>
      <c r="F37" s="80" t="s">
        <v>15</v>
      </c>
      <c r="G37" s="93">
        <f>Reynolds(C10,C23,C7,10)</f>
        <v>65885.050710407886</v>
      </c>
    </row>
    <row r="38" spans="1:7" x14ac:dyDescent="0.25">
      <c r="A38" s="92" t="s">
        <v>61</v>
      </c>
      <c r="B38" s="92" t="s">
        <v>69</v>
      </c>
      <c r="C38" s="90">
        <f>CpL_T(C7)*1000</f>
        <v>4195.6339240313318</v>
      </c>
      <c r="E38" s="79" t="s">
        <v>63</v>
      </c>
      <c r="F38" s="80" t="s">
        <v>15</v>
      </c>
      <c r="G38" s="89">
        <f>C38*C40/C39</f>
        <v>2.2279310960659537</v>
      </c>
    </row>
    <row r="39" spans="1:7" x14ac:dyDescent="0.25">
      <c r="A39" s="92" t="s">
        <v>68</v>
      </c>
      <c r="B39" s="92" t="s">
        <v>33</v>
      </c>
      <c r="C39" s="104">
        <f>-0.00000967398*C7^2 + 0.00215246*C7 + 0.55748</f>
        <v>0.66776332799999993</v>
      </c>
    </row>
    <row r="40" spans="1:7" x14ac:dyDescent="0.25">
      <c r="A40" s="92" t="s">
        <v>62</v>
      </c>
      <c r="B40" s="92" t="s">
        <v>71</v>
      </c>
      <c r="C40" s="91">
        <f>my_pT(10,C7)</f>
        <v>3.5459020262526103E-4</v>
      </c>
    </row>
    <row r="42" spans="1:7" ht="15.75" x14ac:dyDescent="0.25">
      <c r="A42" s="115" t="s">
        <v>90</v>
      </c>
      <c r="B42" s="115"/>
      <c r="C42" s="115"/>
      <c r="D42" s="115"/>
      <c r="E42" s="115"/>
      <c r="F42" s="115"/>
      <c r="G42" s="115"/>
    </row>
    <row r="43" spans="1:7" x14ac:dyDescent="0.25">
      <c r="A43" s="83" t="s">
        <v>64</v>
      </c>
      <c r="B43" s="84" t="s">
        <v>15</v>
      </c>
      <c r="C43" s="82">
        <f>f_Clamond(G37,C5/C23)</f>
        <v>2.5454875998876143E-2</v>
      </c>
    </row>
    <row r="44" spans="1:7" x14ac:dyDescent="0.25">
      <c r="A44" s="83" t="s">
        <v>67</v>
      </c>
      <c r="B44" s="84" t="s">
        <v>15</v>
      </c>
      <c r="C44" s="85">
        <f>((C43/8)*(G37-1000)*G38)/(1+12.7*(C43/8)^0.5*(G38^(2/3)-1))</f>
        <v>305.49653641010946</v>
      </c>
    </row>
    <row r="45" spans="1:7" ht="18" x14ac:dyDescent="0.35">
      <c r="A45" s="83" t="s">
        <v>84</v>
      </c>
      <c r="B45" s="83" t="s">
        <v>82</v>
      </c>
      <c r="C45" s="85">
        <f>C44*C39/(C23/1000)</f>
        <v>3743.1079604713368</v>
      </c>
    </row>
    <row r="46" spans="1:7" ht="18" x14ac:dyDescent="0.35">
      <c r="A46" s="83" t="s">
        <v>85</v>
      </c>
      <c r="B46" s="83" t="s">
        <v>83</v>
      </c>
      <c r="C46" s="85">
        <f>PI()*C23*C8</f>
        <v>171216.79962064372</v>
      </c>
    </row>
    <row r="47" spans="1:7" ht="18" x14ac:dyDescent="0.35">
      <c r="A47" s="83" t="s">
        <v>86</v>
      </c>
      <c r="B47" s="83" t="s">
        <v>72</v>
      </c>
      <c r="C47" s="78">
        <f>1/(C45*C46)</f>
        <v>1.5603472921495252E-9</v>
      </c>
    </row>
    <row r="87" ht="15" customHeight="1" x14ac:dyDescent="0.25"/>
    <row r="101" ht="15" customHeight="1" x14ac:dyDescent="0.25"/>
    <row r="102" ht="17.25" customHeight="1" x14ac:dyDescent="0.25"/>
  </sheetData>
  <mergeCells count="9">
    <mergeCell ref="A31:G31"/>
    <mergeCell ref="A36:G36"/>
    <mergeCell ref="A42:G42"/>
    <mergeCell ref="A20:G20"/>
    <mergeCell ref="A1:C1"/>
    <mergeCell ref="E9:K9"/>
    <mergeCell ref="E1:K1"/>
    <mergeCell ref="J26:K26"/>
    <mergeCell ref="A21:G21"/>
  </mergeCells>
  <hyperlinks>
    <hyperlink ref="E11" r:id="rId1"/>
    <hyperlink ref="E10" r:id="rId2"/>
    <hyperlink ref="E12" r:id="rId3"/>
    <hyperlink ref="E13" r:id="rId4"/>
  </hyperlinks>
  <pageMargins left="0.7" right="0.7" top="0.75" bottom="0.75" header="0.3" footer="0.3"/>
  <pageSetup paperSize="9" orientation="portrait" r:id="rId5"/>
  <drawing r:id="rId6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zPipeCatalogue_LOGSTOR!$U$2:$U$4</xm:f>
          </x14:formula1>
          <xm:sqref>C4</xm:sqref>
        </x14:dataValidation>
        <x14:dataValidation type="list" allowBlank="1" showInputMessage="1" showErrorMessage="1">
          <x14:formula1>
            <xm:f>zPipeCatalogue_LOGSTOR!$A$3:$A$26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29"/>
  <sheetViews>
    <sheetView zoomScale="90" zoomScaleNormal="90" workbookViewId="0">
      <selection activeCell="A3" sqref="A3:A26"/>
    </sheetView>
  </sheetViews>
  <sheetFormatPr defaultRowHeight="15" x14ac:dyDescent="0.25"/>
  <cols>
    <col min="2" max="2" width="11.85546875" bestFit="1" customWidth="1"/>
    <col min="3" max="3" width="10.28515625" bestFit="1" customWidth="1"/>
    <col min="4" max="4" width="15.42578125" customWidth="1"/>
    <col min="5" max="5" width="16.28515625" customWidth="1"/>
    <col min="6" max="6" width="14" customWidth="1"/>
    <col min="7" max="7" width="17.140625" customWidth="1"/>
    <col min="8" max="8" width="14.42578125" customWidth="1"/>
    <col min="9" max="9" width="19.140625" customWidth="1"/>
  </cols>
  <sheetData>
    <row r="1" spans="1:21" x14ac:dyDescent="0.25">
      <c r="A1" s="111" t="s">
        <v>42</v>
      </c>
      <c r="B1" s="111"/>
      <c r="C1" s="111"/>
      <c r="D1" s="117" t="s">
        <v>46</v>
      </c>
      <c r="E1" s="118"/>
      <c r="F1" s="117" t="s">
        <v>47</v>
      </c>
      <c r="G1" s="118"/>
      <c r="H1" s="117" t="s">
        <v>48</v>
      </c>
      <c r="I1" s="119"/>
      <c r="N1" s="66">
        <v>1</v>
      </c>
      <c r="O1" s="67"/>
      <c r="P1" s="66">
        <v>2</v>
      </c>
      <c r="Q1" s="67"/>
      <c r="R1" s="66">
        <v>3</v>
      </c>
      <c r="S1" s="67"/>
      <c r="U1" t="s">
        <v>58</v>
      </c>
    </row>
    <row r="2" spans="1:21" ht="30" x14ac:dyDescent="0.25">
      <c r="A2" t="s">
        <v>43</v>
      </c>
      <c r="B2" s="52" t="s">
        <v>44</v>
      </c>
      <c r="C2" s="52" t="s">
        <v>45</v>
      </c>
      <c r="D2" s="53" t="s">
        <v>44</v>
      </c>
      <c r="E2" s="54" t="s">
        <v>45</v>
      </c>
      <c r="F2" s="53" t="s">
        <v>44</v>
      </c>
      <c r="G2" s="54" t="s">
        <v>45</v>
      </c>
      <c r="H2" s="53" t="s">
        <v>44</v>
      </c>
      <c r="I2" s="58" t="s">
        <v>45</v>
      </c>
      <c r="L2" s="62" t="s">
        <v>49</v>
      </c>
      <c r="M2" s="62" t="s">
        <v>50</v>
      </c>
      <c r="N2" s="64" t="s">
        <v>51</v>
      </c>
      <c r="O2" s="65" t="s">
        <v>52</v>
      </c>
      <c r="P2" s="64" t="s">
        <v>51</v>
      </c>
      <c r="Q2" s="65" t="s">
        <v>52</v>
      </c>
      <c r="R2" s="64" t="s">
        <v>51</v>
      </c>
      <c r="S2" s="65" t="s">
        <v>52</v>
      </c>
      <c r="U2">
        <v>1</v>
      </c>
    </row>
    <row r="3" spans="1:21" x14ac:dyDescent="0.25">
      <c r="A3">
        <v>20</v>
      </c>
      <c r="B3">
        <v>26.9</v>
      </c>
      <c r="C3">
        <v>2.6</v>
      </c>
      <c r="D3" s="55">
        <v>90</v>
      </c>
      <c r="E3" s="2">
        <v>3</v>
      </c>
      <c r="F3" s="55">
        <v>110</v>
      </c>
      <c r="G3" s="2">
        <v>3</v>
      </c>
      <c r="H3" s="55">
        <v>125</v>
      </c>
      <c r="I3" s="59">
        <v>3</v>
      </c>
      <c r="K3" t="str">
        <f>"DN00"&amp;A3</f>
        <v>DN0020</v>
      </c>
      <c r="L3" s="63">
        <f>B3-2*C3</f>
        <v>21.7</v>
      </c>
      <c r="M3">
        <f>B3</f>
        <v>26.9</v>
      </c>
      <c r="N3" s="55">
        <f>D3-2*E3</f>
        <v>84</v>
      </c>
      <c r="O3" s="60">
        <f>D3</f>
        <v>90</v>
      </c>
      <c r="P3" s="55">
        <f>F3-2*G3</f>
        <v>104</v>
      </c>
      <c r="Q3" s="60">
        <f>F3</f>
        <v>110</v>
      </c>
      <c r="R3" s="55">
        <f>H3-2*I3</f>
        <v>119</v>
      </c>
      <c r="S3" s="60">
        <f>H3</f>
        <v>125</v>
      </c>
      <c r="U3">
        <v>2</v>
      </c>
    </row>
    <row r="4" spans="1:21" x14ac:dyDescent="0.25">
      <c r="A4">
        <v>25</v>
      </c>
      <c r="B4">
        <v>33.700000000000003</v>
      </c>
      <c r="C4">
        <v>2.6</v>
      </c>
      <c r="D4" s="55">
        <v>90</v>
      </c>
      <c r="E4" s="2">
        <v>3</v>
      </c>
      <c r="F4" s="55">
        <v>110</v>
      </c>
      <c r="G4" s="2">
        <v>3</v>
      </c>
      <c r="H4" s="55">
        <v>125</v>
      </c>
      <c r="I4" s="59">
        <v>3</v>
      </c>
      <c r="K4" t="str">
        <f t="shared" ref="K4:K9" si="0">"DN00"&amp;A4</f>
        <v>DN0025</v>
      </c>
      <c r="L4" s="63">
        <f t="shared" ref="L4:L26" si="1">B4-2*C4</f>
        <v>28.500000000000004</v>
      </c>
      <c r="M4">
        <f t="shared" ref="M4:M26" si="2">B4</f>
        <v>33.700000000000003</v>
      </c>
      <c r="N4" s="55">
        <f t="shared" ref="N4:N26" si="3">D4-2*E4</f>
        <v>84</v>
      </c>
      <c r="O4" s="60">
        <f t="shared" ref="O4:O26" si="4">D4</f>
        <v>90</v>
      </c>
      <c r="P4" s="55">
        <f t="shared" ref="P4:P20" si="5">F4-2*G4</f>
        <v>104</v>
      </c>
      <c r="Q4" s="60">
        <f t="shared" ref="Q4:Q20" si="6">F4</f>
        <v>110</v>
      </c>
      <c r="R4" s="55">
        <f t="shared" ref="R4:R19" si="7">H4-2*I4</f>
        <v>119</v>
      </c>
      <c r="S4" s="60">
        <f t="shared" ref="S4:S19" si="8">H4</f>
        <v>125</v>
      </c>
      <c r="U4">
        <v>3</v>
      </c>
    </row>
    <row r="5" spans="1:21" x14ac:dyDescent="0.25">
      <c r="A5">
        <v>32</v>
      </c>
      <c r="B5">
        <v>42.4</v>
      </c>
      <c r="C5">
        <v>2.6</v>
      </c>
      <c r="D5" s="55">
        <v>110</v>
      </c>
      <c r="E5" s="2">
        <v>3</v>
      </c>
      <c r="F5" s="55">
        <v>125</v>
      </c>
      <c r="G5" s="2">
        <v>3</v>
      </c>
      <c r="H5" s="55">
        <v>140</v>
      </c>
      <c r="I5" s="59">
        <v>3</v>
      </c>
      <c r="K5" t="str">
        <f t="shared" si="0"/>
        <v>DN0032</v>
      </c>
      <c r="L5" s="63">
        <f t="shared" si="1"/>
        <v>37.199999999999996</v>
      </c>
      <c r="M5">
        <f t="shared" si="2"/>
        <v>42.4</v>
      </c>
      <c r="N5" s="55">
        <f t="shared" si="3"/>
        <v>104</v>
      </c>
      <c r="O5" s="60">
        <f t="shared" si="4"/>
        <v>110</v>
      </c>
      <c r="P5" s="55">
        <f t="shared" si="5"/>
        <v>119</v>
      </c>
      <c r="Q5" s="60">
        <f t="shared" si="6"/>
        <v>125</v>
      </c>
      <c r="R5" s="55">
        <f t="shared" si="7"/>
        <v>134</v>
      </c>
      <c r="S5" s="60">
        <f t="shared" si="8"/>
        <v>140</v>
      </c>
    </row>
    <row r="6" spans="1:21" x14ac:dyDescent="0.25">
      <c r="A6">
        <v>40</v>
      </c>
      <c r="B6">
        <v>48.3</v>
      </c>
      <c r="C6">
        <v>2.6</v>
      </c>
      <c r="D6" s="55">
        <v>110</v>
      </c>
      <c r="E6" s="2">
        <v>3</v>
      </c>
      <c r="F6" s="55">
        <v>125</v>
      </c>
      <c r="G6" s="2">
        <v>3</v>
      </c>
      <c r="H6" s="55">
        <v>140</v>
      </c>
      <c r="I6" s="59">
        <v>3</v>
      </c>
      <c r="K6" t="str">
        <f t="shared" si="0"/>
        <v>DN0040</v>
      </c>
      <c r="L6" s="63">
        <f t="shared" si="1"/>
        <v>43.099999999999994</v>
      </c>
      <c r="M6">
        <f t="shared" si="2"/>
        <v>48.3</v>
      </c>
      <c r="N6" s="55">
        <f t="shared" si="3"/>
        <v>104</v>
      </c>
      <c r="O6" s="60">
        <f t="shared" si="4"/>
        <v>110</v>
      </c>
      <c r="P6" s="55">
        <f t="shared" si="5"/>
        <v>119</v>
      </c>
      <c r="Q6" s="60">
        <f t="shared" si="6"/>
        <v>125</v>
      </c>
      <c r="R6" s="55">
        <f t="shared" si="7"/>
        <v>134</v>
      </c>
      <c r="S6" s="60">
        <f t="shared" si="8"/>
        <v>140</v>
      </c>
    </row>
    <row r="7" spans="1:21" x14ac:dyDescent="0.25">
      <c r="A7">
        <v>50</v>
      </c>
      <c r="B7">
        <v>60.3</v>
      </c>
      <c r="C7">
        <v>2.9</v>
      </c>
      <c r="D7" s="55">
        <v>125</v>
      </c>
      <c r="E7" s="2">
        <v>3</v>
      </c>
      <c r="F7" s="55">
        <v>140</v>
      </c>
      <c r="G7" s="2">
        <v>3</v>
      </c>
      <c r="H7" s="55">
        <v>160</v>
      </c>
      <c r="I7" s="59">
        <v>3</v>
      </c>
      <c r="K7" t="str">
        <f t="shared" si="0"/>
        <v>DN0050</v>
      </c>
      <c r="L7" s="63">
        <f t="shared" si="1"/>
        <v>54.5</v>
      </c>
      <c r="M7">
        <f t="shared" si="2"/>
        <v>60.3</v>
      </c>
      <c r="N7" s="55">
        <f t="shared" si="3"/>
        <v>119</v>
      </c>
      <c r="O7" s="60">
        <f t="shared" si="4"/>
        <v>125</v>
      </c>
      <c r="P7" s="55">
        <f t="shared" si="5"/>
        <v>134</v>
      </c>
      <c r="Q7" s="60">
        <f t="shared" si="6"/>
        <v>140</v>
      </c>
      <c r="R7" s="55">
        <f t="shared" si="7"/>
        <v>154</v>
      </c>
      <c r="S7" s="60">
        <f t="shared" si="8"/>
        <v>160</v>
      </c>
    </row>
    <row r="8" spans="1:21" x14ac:dyDescent="0.25">
      <c r="A8">
        <v>65</v>
      </c>
      <c r="B8">
        <v>76.099999999999994</v>
      </c>
      <c r="C8">
        <v>2.9</v>
      </c>
      <c r="D8" s="55">
        <v>140</v>
      </c>
      <c r="E8" s="2">
        <v>3</v>
      </c>
      <c r="F8" s="55">
        <v>160</v>
      </c>
      <c r="G8" s="2">
        <v>3</v>
      </c>
      <c r="H8" s="55">
        <v>180</v>
      </c>
      <c r="I8" s="59">
        <v>3</v>
      </c>
      <c r="K8" t="str">
        <f t="shared" si="0"/>
        <v>DN0065</v>
      </c>
      <c r="L8" s="63">
        <f t="shared" si="1"/>
        <v>70.3</v>
      </c>
      <c r="M8">
        <f t="shared" si="2"/>
        <v>76.099999999999994</v>
      </c>
      <c r="N8" s="55">
        <f t="shared" si="3"/>
        <v>134</v>
      </c>
      <c r="O8" s="60">
        <f t="shared" si="4"/>
        <v>140</v>
      </c>
      <c r="P8" s="55">
        <f t="shared" si="5"/>
        <v>154</v>
      </c>
      <c r="Q8" s="60">
        <f t="shared" si="6"/>
        <v>160</v>
      </c>
      <c r="R8" s="55">
        <f t="shared" si="7"/>
        <v>174</v>
      </c>
      <c r="S8" s="60">
        <f t="shared" si="8"/>
        <v>180</v>
      </c>
    </row>
    <row r="9" spans="1:21" x14ac:dyDescent="0.25">
      <c r="A9">
        <v>80</v>
      </c>
      <c r="B9">
        <v>88.9</v>
      </c>
      <c r="C9">
        <v>3.2</v>
      </c>
      <c r="D9" s="55">
        <v>160</v>
      </c>
      <c r="E9" s="2">
        <v>3</v>
      </c>
      <c r="F9" s="55">
        <v>180</v>
      </c>
      <c r="G9" s="2">
        <v>3</v>
      </c>
      <c r="H9" s="55">
        <v>200</v>
      </c>
      <c r="I9" s="59">
        <v>3.2</v>
      </c>
      <c r="K9" t="str">
        <f t="shared" si="0"/>
        <v>DN0080</v>
      </c>
      <c r="L9" s="63">
        <f t="shared" si="1"/>
        <v>82.5</v>
      </c>
      <c r="M9">
        <f t="shared" si="2"/>
        <v>88.9</v>
      </c>
      <c r="N9" s="55">
        <f t="shared" si="3"/>
        <v>154</v>
      </c>
      <c r="O9" s="60">
        <f t="shared" si="4"/>
        <v>160</v>
      </c>
      <c r="P9" s="55">
        <f t="shared" si="5"/>
        <v>174</v>
      </c>
      <c r="Q9" s="60">
        <f t="shared" si="6"/>
        <v>180</v>
      </c>
      <c r="R9" s="55">
        <f t="shared" si="7"/>
        <v>193.6</v>
      </c>
      <c r="S9" s="60">
        <f t="shared" si="8"/>
        <v>200</v>
      </c>
    </row>
    <row r="10" spans="1:21" x14ac:dyDescent="0.25">
      <c r="A10">
        <v>100</v>
      </c>
      <c r="B10">
        <v>114.3</v>
      </c>
      <c r="C10">
        <v>3.6</v>
      </c>
      <c r="D10" s="55">
        <v>200</v>
      </c>
      <c r="E10" s="2">
        <v>3.2</v>
      </c>
      <c r="F10" s="55">
        <v>225</v>
      </c>
      <c r="G10" s="2">
        <v>3.4</v>
      </c>
      <c r="H10" s="55">
        <v>250</v>
      </c>
      <c r="I10" s="59">
        <v>3.6</v>
      </c>
      <c r="K10" t="str">
        <f>"DN0"&amp;A10</f>
        <v>DN0100</v>
      </c>
      <c r="L10" s="63">
        <f t="shared" si="1"/>
        <v>107.1</v>
      </c>
      <c r="M10">
        <f t="shared" si="2"/>
        <v>114.3</v>
      </c>
      <c r="N10" s="55">
        <f t="shared" si="3"/>
        <v>193.6</v>
      </c>
      <c r="O10" s="60">
        <f t="shared" si="4"/>
        <v>200</v>
      </c>
      <c r="P10" s="55">
        <f t="shared" si="5"/>
        <v>218.2</v>
      </c>
      <c r="Q10" s="60">
        <f t="shared" si="6"/>
        <v>225</v>
      </c>
      <c r="R10" s="55">
        <f t="shared" si="7"/>
        <v>242.8</v>
      </c>
      <c r="S10" s="60">
        <f t="shared" si="8"/>
        <v>250</v>
      </c>
    </row>
    <row r="11" spans="1:21" x14ac:dyDescent="0.25">
      <c r="A11">
        <v>125</v>
      </c>
      <c r="B11">
        <v>139.69999999999999</v>
      </c>
      <c r="C11">
        <v>3.6</v>
      </c>
      <c r="D11" s="55">
        <v>225</v>
      </c>
      <c r="E11" s="2">
        <v>3.4</v>
      </c>
      <c r="F11" s="55">
        <v>250</v>
      </c>
      <c r="G11" s="2">
        <v>3.6</v>
      </c>
      <c r="H11" s="55">
        <v>280</v>
      </c>
      <c r="I11" s="59">
        <v>3.9</v>
      </c>
      <c r="K11" t="str">
        <f t="shared" ref="K11:K23" si="9">"DN0"&amp;A11</f>
        <v>DN0125</v>
      </c>
      <c r="L11" s="63">
        <f t="shared" si="1"/>
        <v>132.5</v>
      </c>
      <c r="M11">
        <f t="shared" si="2"/>
        <v>139.69999999999999</v>
      </c>
      <c r="N11" s="55">
        <f t="shared" si="3"/>
        <v>218.2</v>
      </c>
      <c r="O11" s="60">
        <f t="shared" si="4"/>
        <v>225</v>
      </c>
      <c r="P11" s="55">
        <f t="shared" si="5"/>
        <v>242.8</v>
      </c>
      <c r="Q11" s="60">
        <f t="shared" si="6"/>
        <v>250</v>
      </c>
      <c r="R11" s="55">
        <f t="shared" si="7"/>
        <v>272.2</v>
      </c>
      <c r="S11" s="60">
        <f t="shared" si="8"/>
        <v>280</v>
      </c>
    </row>
    <row r="12" spans="1:21" x14ac:dyDescent="0.25">
      <c r="A12">
        <v>150</v>
      </c>
      <c r="B12">
        <v>168.3</v>
      </c>
      <c r="C12">
        <v>4</v>
      </c>
      <c r="D12" s="55">
        <v>250</v>
      </c>
      <c r="E12" s="2">
        <v>3.6</v>
      </c>
      <c r="F12" s="55">
        <v>280</v>
      </c>
      <c r="G12" s="2">
        <v>3.9</v>
      </c>
      <c r="H12" s="55">
        <v>315</v>
      </c>
      <c r="I12" s="59">
        <v>4.0999999999999996</v>
      </c>
      <c r="K12" t="str">
        <f t="shared" si="9"/>
        <v>DN0150</v>
      </c>
      <c r="L12" s="63">
        <f t="shared" si="1"/>
        <v>160.30000000000001</v>
      </c>
      <c r="M12">
        <f t="shared" si="2"/>
        <v>168.3</v>
      </c>
      <c r="N12" s="55">
        <f t="shared" si="3"/>
        <v>242.8</v>
      </c>
      <c r="O12" s="60">
        <f t="shared" si="4"/>
        <v>250</v>
      </c>
      <c r="P12" s="55">
        <f t="shared" si="5"/>
        <v>272.2</v>
      </c>
      <c r="Q12" s="60">
        <f t="shared" si="6"/>
        <v>280</v>
      </c>
      <c r="R12" s="55">
        <f t="shared" si="7"/>
        <v>306.8</v>
      </c>
      <c r="S12" s="60">
        <f t="shared" si="8"/>
        <v>315</v>
      </c>
    </row>
    <row r="13" spans="1:21" x14ac:dyDescent="0.25">
      <c r="A13">
        <v>200</v>
      </c>
      <c r="B13">
        <v>219.1</v>
      </c>
      <c r="C13">
        <v>4.5</v>
      </c>
      <c r="D13" s="55">
        <v>315</v>
      </c>
      <c r="E13" s="2">
        <v>4.0999999999999996</v>
      </c>
      <c r="F13" s="55">
        <v>355</v>
      </c>
      <c r="G13" s="2">
        <v>4.5</v>
      </c>
      <c r="H13" s="55">
        <v>400</v>
      </c>
      <c r="I13" s="59">
        <v>4.8</v>
      </c>
      <c r="K13" t="str">
        <f t="shared" si="9"/>
        <v>DN0200</v>
      </c>
      <c r="L13" s="63">
        <f t="shared" si="1"/>
        <v>210.1</v>
      </c>
      <c r="M13">
        <f t="shared" si="2"/>
        <v>219.1</v>
      </c>
      <c r="N13" s="55">
        <f t="shared" si="3"/>
        <v>306.8</v>
      </c>
      <c r="O13" s="60">
        <f t="shared" si="4"/>
        <v>315</v>
      </c>
      <c r="P13" s="55">
        <f t="shared" si="5"/>
        <v>346</v>
      </c>
      <c r="Q13" s="60">
        <f t="shared" si="6"/>
        <v>355</v>
      </c>
      <c r="R13" s="55">
        <f t="shared" si="7"/>
        <v>390.4</v>
      </c>
      <c r="S13" s="60">
        <f t="shared" si="8"/>
        <v>400</v>
      </c>
    </row>
    <row r="14" spans="1:21" x14ac:dyDescent="0.25">
      <c r="A14">
        <v>250</v>
      </c>
      <c r="B14">
        <v>273</v>
      </c>
      <c r="C14">
        <v>5</v>
      </c>
      <c r="D14" s="55">
        <v>400</v>
      </c>
      <c r="E14" s="2">
        <v>4.8</v>
      </c>
      <c r="F14" s="55">
        <v>450</v>
      </c>
      <c r="G14" s="2">
        <v>5.2</v>
      </c>
      <c r="H14" s="55">
        <v>500</v>
      </c>
      <c r="I14" s="59">
        <v>5.6</v>
      </c>
      <c r="K14" t="str">
        <f t="shared" si="9"/>
        <v>DN0250</v>
      </c>
      <c r="L14" s="63">
        <f t="shared" si="1"/>
        <v>263</v>
      </c>
      <c r="M14">
        <f t="shared" si="2"/>
        <v>273</v>
      </c>
      <c r="N14" s="55">
        <f t="shared" si="3"/>
        <v>390.4</v>
      </c>
      <c r="O14" s="60">
        <f t="shared" si="4"/>
        <v>400</v>
      </c>
      <c r="P14" s="55">
        <f t="shared" si="5"/>
        <v>439.6</v>
      </c>
      <c r="Q14" s="60">
        <f t="shared" si="6"/>
        <v>450</v>
      </c>
      <c r="R14" s="55">
        <f t="shared" si="7"/>
        <v>488.8</v>
      </c>
      <c r="S14" s="60">
        <f t="shared" si="8"/>
        <v>500</v>
      </c>
    </row>
    <row r="15" spans="1:21" x14ac:dyDescent="0.25">
      <c r="A15">
        <v>300</v>
      </c>
      <c r="B15">
        <v>323.89999999999998</v>
      </c>
      <c r="C15">
        <v>5.6</v>
      </c>
      <c r="D15" s="55">
        <v>450</v>
      </c>
      <c r="E15" s="2">
        <v>5.2</v>
      </c>
      <c r="F15" s="55">
        <v>500</v>
      </c>
      <c r="G15" s="2">
        <v>5.6</v>
      </c>
      <c r="H15" s="55">
        <v>560</v>
      </c>
      <c r="I15" s="59">
        <v>5.7</v>
      </c>
      <c r="K15" t="str">
        <f t="shared" si="9"/>
        <v>DN0300</v>
      </c>
      <c r="L15" s="63">
        <f t="shared" si="1"/>
        <v>312.7</v>
      </c>
      <c r="M15">
        <f t="shared" si="2"/>
        <v>323.89999999999998</v>
      </c>
      <c r="N15" s="55">
        <f t="shared" si="3"/>
        <v>439.6</v>
      </c>
      <c r="O15" s="60">
        <f t="shared" si="4"/>
        <v>450</v>
      </c>
      <c r="P15" s="55">
        <f t="shared" si="5"/>
        <v>488.8</v>
      </c>
      <c r="Q15" s="60">
        <f t="shared" si="6"/>
        <v>500</v>
      </c>
      <c r="R15" s="55">
        <f t="shared" si="7"/>
        <v>548.6</v>
      </c>
      <c r="S15" s="60">
        <f t="shared" si="8"/>
        <v>560</v>
      </c>
    </row>
    <row r="16" spans="1:21" x14ac:dyDescent="0.25">
      <c r="A16">
        <v>350</v>
      </c>
      <c r="B16">
        <v>355.6</v>
      </c>
      <c r="C16">
        <v>5.6</v>
      </c>
      <c r="D16" s="55">
        <v>500</v>
      </c>
      <c r="E16" s="2">
        <v>5.6</v>
      </c>
      <c r="F16" s="55">
        <v>560</v>
      </c>
      <c r="G16" s="2">
        <v>5.7</v>
      </c>
      <c r="H16" s="55">
        <v>630</v>
      </c>
      <c r="I16" s="59">
        <v>6</v>
      </c>
      <c r="K16" t="str">
        <f t="shared" si="9"/>
        <v>DN0350</v>
      </c>
      <c r="L16" s="63">
        <f t="shared" si="1"/>
        <v>344.40000000000003</v>
      </c>
      <c r="M16">
        <f t="shared" si="2"/>
        <v>355.6</v>
      </c>
      <c r="N16" s="55">
        <f t="shared" si="3"/>
        <v>488.8</v>
      </c>
      <c r="O16" s="60">
        <f t="shared" si="4"/>
        <v>500</v>
      </c>
      <c r="P16" s="55">
        <f t="shared" si="5"/>
        <v>548.6</v>
      </c>
      <c r="Q16" s="60">
        <f t="shared" si="6"/>
        <v>560</v>
      </c>
      <c r="R16" s="55">
        <f t="shared" si="7"/>
        <v>618</v>
      </c>
      <c r="S16" s="60">
        <f t="shared" si="8"/>
        <v>630</v>
      </c>
    </row>
    <row r="17" spans="1:19" x14ac:dyDescent="0.25">
      <c r="A17">
        <v>400</v>
      </c>
      <c r="B17">
        <v>406.4</v>
      </c>
      <c r="C17">
        <v>6.3</v>
      </c>
      <c r="D17" s="55">
        <v>560</v>
      </c>
      <c r="E17" s="2">
        <v>5.7</v>
      </c>
      <c r="F17" s="55">
        <v>630</v>
      </c>
      <c r="G17" s="2">
        <v>6</v>
      </c>
      <c r="H17" s="55">
        <v>710</v>
      </c>
      <c r="I17" s="59">
        <v>6.6</v>
      </c>
      <c r="K17" t="str">
        <f t="shared" si="9"/>
        <v>DN0400</v>
      </c>
      <c r="L17" s="63">
        <f t="shared" si="1"/>
        <v>393.79999999999995</v>
      </c>
      <c r="M17">
        <f t="shared" si="2"/>
        <v>406.4</v>
      </c>
      <c r="N17" s="55">
        <f t="shared" si="3"/>
        <v>548.6</v>
      </c>
      <c r="O17" s="60">
        <f t="shared" si="4"/>
        <v>560</v>
      </c>
      <c r="P17" s="55">
        <f t="shared" si="5"/>
        <v>618</v>
      </c>
      <c r="Q17" s="60">
        <f t="shared" si="6"/>
        <v>630</v>
      </c>
      <c r="R17" s="55">
        <f t="shared" si="7"/>
        <v>696.8</v>
      </c>
      <c r="S17" s="60">
        <f t="shared" si="8"/>
        <v>710</v>
      </c>
    </row>
    <row r="18" spans="1:19" x14ac:dyDescent="0.25">
      <c r="A18">
        <v>450</v>
      </c>
      <c r="B18">
        <v>457</v>
      </c>
      <c r="C18">
        <v>6.3</v>
      </c>
      <c r="D18" s="55">
        <v>630</v>
      </c>
      <c r="E18" s="2">
        <v>6</v>
      </c>
      <c r="F18" s="55">
        <v>710</v>
      </c>
      <c r="G18" s="2">
        <v>6.6</v>
      </c>
      <c r="H18" s="55">
        <v>800</v>
      </c>
      <c r="I18" s="59">
        <v>7.2</v>
      </c>
      <c r="K18" t="str">
        <f t="shared" si="9"/>
        <v>DN0450</v>
      </c>
      <c r="L18" s="63">
        <f t="shared" si="1"/>
        <v>444.4</v>
      </c>
      <c r="M18">
        <f t="shared" si="2"/>
        <v>457</v>
      </c>
      <c r="N18" s="55">
        <f t="shared" si="3"/>
        <v>618</v>
      </c>
      <c r="O18" s="60">
        <f t="shared" si="4"/>
        <v>630</v>
      </c>
      <c r="P18" s="55">
        <f t="shared" si="5"/>
        <v>696.8</v>
      </c>
      <c r="Q18" s="60">
        <f t="shared" si="6"/>
        <v>710</v>
      </c>
      <c r="R18" s="55">
        <f t="shared" si="7"/>
        <v>785.6</v>
      </c>
      <c r="S18" s="60">
        <f t="shared" si="8"/>
        <v>800</v>
      </c>
    </row>
    <row r="19" spans="1:19" x14ac:dyDescent="0.25">
      <c r="A19">
        <v>500</v>
      </c>
      <c r="B19">
        <v>508</v>
      </c>
      <c r="C19">
        <v>6.3</v>
      </c>
      <c r="D19" s="55">
        <v>710</v>
      </c>
      <c r="E19" s="2">
        <v>6.6</v>
      </c>
      <c r="F19" s="55">
        <v>800</v>
      </c>
      <c r="G19" s="2">
        <v>7.2</v>
      </c>
      <c r="H19" s="55">
        <v>900</v>
      </c>
      <c r="I19" s="59">
        <v>7.9</v>
      </c>
      <c r="K19" t="str">
        <f t="shared" si="9"/>
        <v>DN0500</v>
      </c>
      <c r="L19" s="63">
        <f t="shared" si="1"/>
        <v>495.4</v>
      </c>
      <c r="M19">
        <f t="shared" si="2"/>
        <v>508</v>
      </c>
      <c r="N19" s="55">
        <f t="shared" si="3"/>
        <v>696.8</v>
      </c>
      <c r="O19" s="60">
        <f t="shared" si="4"/>
        <v>710</v>
      </c>
      <c r="P19" s="55">
        <f t="shared" si="5"/>
        <v>785.6</v>
      </c>
      <c r="Q19" s="60">
        <f t="shared" si="6"/>
        <v>800</v>
      </c>
      <c r="R19" s="55">
        <f t="shared" si="7"/>
        <v>884.2</v>
      </c>
      <c r="S19" s="60">
        <f t="shared" si="8"/>
        <v>900</v>
      </c>
    </row>
    <row r="20" spans="1:19" x14ac:dyDescent="0.25">
      <c r="A20">
        <v>600</v>
      </c>
      <c r="B20">
        <v>610</v>
      </c>
      <c r="C20">
        <v>7.1</v>
      </c>
      <c r="D20" s="55">
        <v>800</v>
      </c>
      <c r="E20" s="2">
        <v>7.8</v>
      </c>
      <c r="F20" s="55">
        <v>900</v>
      </c>
      <c r="G20" s="2">
        <v>7.9</v>
      </c>
      <c r="H20" s="55"/>
      <c r="I20" s="60"/>
      <c r="K20" t="str">
        <f t="shared" si="9"/>
        <v>DN0600</v>
      </c>
      <c r="L20" s="63">
        <f t="shared" si="1"/>
        <v>595.79999999999995</v>
      </c>
      <c r="M20">
        <f t="shared" si="2"/>
        <v>610</v>
      </c>
      <c r="N20" s="55">
        <f t="shared" si="3"/>
        <v>784.4</v>
      </c>
      <c r="O20" s="60">
        <f t="shared" si="4"/>
        <v>800</v>
      </c>
      <c r="P20" s="55">
        <f t="shared" si="5"/>
        <v>884.2</v>
      </c>
      <c r="Q20" s="60">
        <f t="shared" si="6"/>
        <v>900</v>
      </c>
      <c r="R20" s="55"/>
      <c r="S20" s="60"/>
    </row>
    <row r="21" spans="1:19" x14ac:dyDescent="0.25">
      <c r="A21">
        <v>700</v>
      </c>
      <c r="B21">
        <v>711</v>
      </c>
      <c r="C21">
        <v>8</v>
      </c>
      <c r="D21" s="55">
        <v>900</v>
      </c>
      <c r="E21" s="2">
        <v>8.6999999999999993</v>
      </c>
      <c r="F21" s="55"/>
      <c r="G21" s="2"/>
      <c r="H21" s="55"/>
      <c r="I21" s="60"/>
      <c r="K21" t="str">
        <f t="shared" si="9"/>
        <v>DN0700</v>
      </c>
      <c r="L21" s="63">
        <f t="shared" si="1"/>
        <v>695</v>
      </c>
      <c r="M21">
        <f t="shared" si="2"/>
        <v>711</v>
      </c>
      <c r="N21" s="55">
        <f t="shared" si="3"/>
        <v>882.6</v>
      </c>
      <c r="O21" s="60">
        <f t="shared" si="4"/>
        <v>900</v>
      </c>
      <c r="P21" s="55"/>
      <c r="Q21" s="60"/>
      <c r="R21" s="55"/>
      <c r="S21" s="60"/>
    </row>
    <row r="22" spans="1:19" x14ac:dyDescent="0.25">
      <c r="A22">
        <v>800</v>
      </c>
      <c r="B22">
        <v>813</v>
      </c>
      <c r="C22">
        <v>8.8000000000000007</v>
      </c>
      <c r="D22" s="55">
        <v>1000</v>
      </c>
      <c r="E22" s="2">
        <v>9.4</v>
      </c>
      <c r="F22" s="55"/>
      <c r="G22" s="2"/>
      <c r="H22" s="55"/>
      <c r="I22" s="60"/>
      <c r="K22" t="str">
        <f t="shared" si="9"/>
        <v>DN0800</v>
      </c>
      <c r="L22" s="63">
        <f t="shared" si="1"/>
        <v>795.4</v>
      </c>
      <c r="M22">
        <f t="shared" si="2"/>
        <v>813</v>
      </c>
      <c r="N22" s="55">
        <f t="shared" si="3"/>
        <v>981.2</v>
      </c>
      <c r="O22" s="60">
        <f t="shared" si="4"/>
        <v>1000</v>
      </c>
      <c r="P22" s="55"/>
      <c r="Q22" s="60"/>
      <c r="R22" s="55"/>
      <c r="S22" s="60"/>
    </row>
    <row r="23" spans="1:19" x14ac:dyDescent="0.25">
      <c r="A23">
        <v>900</v>
      </c>
      <c r="B23">
        <v>914</v>
      </c>
      <c r="C23">
        <v>10</v>
      </c>
      <c r="D23" s="55">
        <v>1100</v>
      </c>
      <c r="E23" s="2">
        <v>10.199999999999999</v>
      </c>
      <c r="F23" s="55"/>
      <c r="G23" s="2"/>
      <c r="H23" s="55"/>
      <c r="I23" s="60"/>
      <c r="K23" t="str">
        <f t="shared" si="9"/>
        <v>DN0900</v>
      </c>
      <c r="L23" s="63">
        <f t="shared" si="1"/>
        <v>894</v>
      </c>
      <c r="M23">
        <f t="shared" si="2"/>
        <v>914</v>
      </c>
      <c r="N23" s="55">
        <f t="shared" si="3"/>
        <v>1079.5999999999999</v>
      </c>
      <c r="O23" s="60">
        <f t="shared" si="4"/>
        <v>1100</v>
      </c>
      <c r="P23" s="55"/>
      <c r="Q23" s="60"/>
      <c r="R23" s="55"/>
      <c r="S23" s="60"/>
    </row>
    <row r="24" spans="1:19" x14ac:dyDescent="0.25">
      <c r="A24">
        <v>1000</v>
      </c>
      <c r="B24">
        <v>1016</v>
      </c>
      <c r="C24">
        <v>11</v>
      </c>
      <c r="D24" s="55">
        <v>1200</v>
      </c>
      <c r="E24" s="2">
        <v>11</v>
      </c>
      <c r="F24" s="55"/>
      <c r="G24" s="2"/>
      <c r="H24" s="55"/>
      <c r="I24" s="60"/>
      <c r="K24" t="str">
        <f t="shared" ref="K24:K26" si="10">"DN"&amp;A24</f>
        <v>DN1000</v>
      </c>
      <c r="L24" s="63">
        <f t="shared" si="1"/>
        <v>994</v>
      </c>
      <c r="M24">
        <f t="shared" si="2"/>
        <v>1016</v>
      </c>
      <c r="N24" s="55">
        <f t="shared" si="3"/>
        <v>1178</v>
      </c>
      <c r="O24" s="60">
        <f t="shared" si="4"/>
        <v>1200</v>
      </c>
      <c r="P24" s="55"/>
      <c r="Q24" s="60"/>
      <c r="R24" s="55"/>
      <c r="S24" s="60"/>
    </row>
    <row r="25" spans="1:19" x14ac:dyDescent="0.25">
      <c r="A25">
        <v>1100</v>
      </c>
      <c r="B25">
        <v>1118</v>
      </c>
      <c r="C25">
        <v>11</v>
      </c>
      <c r="D25" s="55">
        <v>1300</v>
      </c>
      <c r="E25" s="2">
        <v>11.8</v>
      </c>
      <c r="F25" s="55"/>
      <c r="G25" s="2"/>
      <c r="H25" s="55"/>
      <c r="I25" s="60"/>
      <c r="K25" t="str">
        <f t="shared" si="10"/>
        <v>DN1100</v>
      </c>
      <c r="L25" s="63">
        <f t="shared" si="1"/>
        <v>1096</v>
      </c>
      <c r="M25">
        <f t="shared" si="2"/>
        <v>1118</v>
      </c>
      <c r="N25" s="55">
        <f t="shared" si="3"/>
        <v>1276.4000000000001</v>
      </c>
      <c r="O25" s="60">
        <f t="shared" si="4"/>
        <v>1300</v>
      </c>
      <c r="P25" s="55"/>
      <c r="Q25" s="60"/>
      <c r="R25" s="55"/>
      <c r="S25" s="60"/>
    </row>
    <row r="26" spans="1:19" x14ac:dyDescent="0.25">
      <c r="A26" s="56">
        <v>1200</v>
      </c>
      <c r="B26" s="56">
        <v>1219</v>
      </c>
      <c r="C26" s="56">
        <v>12.5</v>
      </c>
      <c r="D26" s="57">
        <v>1400</v>
      </c>
      <c r="E26" s="56">
        <v>12.5</v>
      </c>
      <c r="F26" s="57"/>
      <c r="G26" s="56"/>
      <c r="H26" s="57"/>
      <c r="I26" s="61"/>
      <c r="K26" t="str">
        <f t="shared" si="10"/>
        <v>DN1200</v>
      </c>
      <c r="L26" s="63">
        <f t="shared" si="1"/>
        <v>1194</v>
      </c>
      <c r="M26">
        <f t="shared" si="2"/>
        <v>1219</v>
      </c>
      <c r="N26" s="57">
        <f t="shared" si="3"/>
        <v>1375</v>
      </c>
      <c r="O26" s="61">
        <f t="shared" si="4"/>
        <v>1400</v>
      </c>
      <c r="P26" s="57"/>
      <c r="Q26" s="61"/>
      <c r="R26" s="57"/>
      <c r="S26" s="61"/>
    </row>
    <row r="28" spans="1:19" x14ac:dyDescent="0.25">
      <c r="A28" t="s">
        <v>55</v>
      </c>
    </row>
    <row r="29" spans="1:19" x14ac:dyDescent="0.25">
      <c r="A29" s="50" t="s">
        <v>56</v>
      </c>
    </row>
  </sheetData>
  <mergeCells count="4">
    <mergeCell ref="A1:C1"/>
    <mergeCell ref="D1:E1"/>
    <mergeCell ref="F1:G1"/>
    <mergeCell ref="H1:I1"/>
  </mergeCells>
  <hyperlinks>
    <hyperlink ref="A29" r:id="rId1"/>
  </hyperlinks>
  <pageMargins left="0.7" right="0.7" top="0.75" bottom="0.75" header="0.3" footer="0.3"/>
  <pageSetup orientation="portrait" horizontalDpi="1200" verticalDpi="12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air properties</vt:lpstr>
      <vt:lpstr>calculation non insulated pipe </vt:lpstr>
      <vt:lpstr>NewTool</vt:lpstr>
      <vt:lpstr>zPipeCatalogue_LOGSTOR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TemperatureDrop</dc:title>
  <dc:creator>Hakan İbrahim Tol;PhD</dc:creator>
  <dc:description>Calculates the temperature drop via buried insulated steel single pipe.</dc:description>
  <cp:lastModifiedBy>WorldsInWorld</cp:lastModifiedBy>
  <dcterms:created xsi:type="dcterms:W3CDTF">2013-03-23T00:51:52Z</dcterms:created>
  <dcterms:modified xsi:type="dcterms:W3CDTF">2019-01-26T13:12:17Z</dcterms:modified>
</cp:coreProperties>
</file>